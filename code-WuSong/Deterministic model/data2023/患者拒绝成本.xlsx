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ngWu\Desktop\新建文件夹\data202301-202312\"/>
    </mc:Choice>
  </mc:AlternateContent>
  <bookViews>
    <workbookView windowWidth="21094" windowHeight="96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<sst xmlns="http://schemas.openxmlformats.org/spreadsheetml/2006/main" count="33" uniqueCount="33">
  <si>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科室</t>
  </si>
  <si>
    <t>科室DRG权重</t>
  </si>
  <si>
    <t>患者收益/拒绝成本</t>
  </si>
  <si>
    <t>心血管内科</t>
  </si>
  <si>
    <t>血液内科</t>
  </si>
  <si>
    <t>神经内科</t>
  </si>
  <si>
    <t>呼吸内科</t>
  </si>
  <si>
    <t>消化内科</t>
  </si>
  <si>
    <t>内分泌科</t>
  </si>
  <si>
    <t>肾病内科</t>
  </si>
  <si>
    <t>康复医学科</t>
  </si>
  <si>
    <t>风湿免疫科</t>
  </si>
  <si>
    <t>骨一科</t>
  </si>
  <si>
    <t>骨二科</t>
  </si>
  <si>
    <t>骨三科</t>
  </si>
  <si>
    <t>神经外科</t>
  </si>
  <si>
    <t>普通外科</t>
  </si>
  <si>
    <t>小儿外科</t>
  </si>
  <si>
    <t>肿瘤科</t>
  </si>
  <si>
    <t>胸外科</t>
  </si>
  <si>
    <t>心外科</t>
  </si>
  <si>
    <t>泌尿外科</t>
  </si>
  <si>
    <t>放疗科</t>
  </si>
  <si>
    <t>骨关节外科</t>
  </si>
  <si>
    <t>移植外科</t>
  </si>
  <si>
    <t>整形美容烧伤</t>
  </si>
  <si>
    <t>感染科</t>
  </si>
  <si>
    <t>小儿内科</t>
  </si>
  <si>
    <t>眼科</t>
  </si>
  <si>
    <t>耳鼻喉科</t>
  </si>
  <si>
    <t>皮肤科</t>
  </si>
  <si>
    <t>中医科</t>
  </si>
  <si>
    <t>全科医学科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</si>
</sst>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2"/>
  <sheetViews>
    <sheetView tabSelected="1" workbookViewId="0">
      <selection activeCell="G7" sqref="G7"/>
    </sheetView>
  </sheetViews>
  <sheetFormatPr defaultColWidth="9" defaultRowHeight="14.1" outlineLevelCol="2"/>
  <cols>
    <col min="1" max="1" width="16.3063063063063" style="1" customWidth="1"/>
    <col min="2" max="2" width="13" style="2" customWidth="1"/>
    <col min="3" max="3" width="19.7747747747748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3">
        <v>0.854160899300636</v>
      </c>
      <c r="C2" s="3">
        <f t="shared" ref="C2:C31" si="0">B2*11762.43</f>
        <v>10047.0077867608</v>
      </c>
    </row>
    <row r="3" spans="1:3">
      <c r="A3" s="1" t="s">
        <v>4</v>
      </c>
      <c r="B3" s="3">
        <v>1.59852654314767</v>
      </c>
      <c r="C3" s="3">
        <f t="shared" si="0"/>
        <v>18802.5565669164</v>
      </c>
    </row>
    <row r="4" spans="1:3">
      <c r="A4" s="1" t="s">
        <v>5</v>
      </c>
      <c r="B4" s="3">
        <v>0.80148292224715</v>
      </c>
      <c r="C4" s="3">
        <f t="shared" si="0"/>
        <v>9427.38676912754</v>
      </c>
    </row>
    <row r="5" spans="1:3">
      <c r="A5" s="1" t="s">
        <v>6</v>
      </c>
      <c r="B5" s="3">
        <v>0.753225897597879</v>
      </c>
      <c r="C5" s="3">
        <f t="shared" si="0"/>
        <v>8859.76689468222</v>
      </c>
    </row>
    <row r="6" spans="1:3">
      <c r="A6" s="1" t="s">
        <v>7</v>
      </c>
      <c r="B6" s="3">
        <v>0.816095280448015</v>
      </c>
      <c r="C6" s="3">
        <f t="shared" si="0"/>
        <v>9599.26360960015</v>
      </c>
    </row>
    <row r="7" spans="1:3">
      <c r="A7" s="1" t="s">
        <v>8</v>
      </c>
      <c r="B7" s="3">
        <v>0.651720417350466</v>
      </c>
      <c r="C7" s="3">
        <f t="shared" si="0"/>
        <v>7665.81578865564</v>
      </c>
    </row>
    <row r="8" spans="1:3">
      <c r="A8" s="1" t="s">
        <v>9</v>
      </c>
      <c r="B8" s="3">
        <v>0.752977140135377</v>
      </c>
      <c r="C8" s="3">
        <f t="shared" si="0"/>
        <v>8856.84090244256</v>
      </c>
    </row>
    <row r="9" spans="1:3">
      <c r="A9" s="1" t="s">
        <v>10</v>
      </c>
      <c r="B9" s="3">
        <v>0.879107826944689</v>
      </c>
      <c r="C9" s="3">
        <f t="shared" si="0"/>
        <v>10340.444276889</v>
      </c>
    </row>
    <row r="10" spans="1:3">
      <c r="A10" s="1" t="s">
        <v>11</v>
      </c>
      <c r="B10" s="3">
        <v>0.89601692919772</v>
      </c>
      <c r="C10" s="3">
        <f t="shared" si="0"/>
        <v>10539.3364085031</v>
      </c>
    </row>
    <row r="11" spans="1:3">
      <c r="A11" s="1" t="s">
        <v>12</v>
      </c>
      <c r="B11" s="3">
        <v>0.845253291378061</v>
      </c>
      <c r="C11" s="3">
        <f t="shared" si="0"/>
        <v>9942.23267210405</v>
      </c>
    </row>
    <row r="12" spans="1:3">
      <c r="A12" s="1" t="s">
        <v>13</v>
      </c>
      <c r="B12" s="3">
        <v>0.860816170837171</v>
      </c>
      <c r="C12" s="3">
        <f t="shared" si="0"/>
        <v>10125.2899523403</v>
      </c>
    </row>
    <row r="13" spans="1:3">
      <c r="A13" s="1" t="s">
        <v>14</v>
      </c>
      <c r="B13" s="3">
        <v>0.8813159309715</v>
      </c>
      <c r="C13" s="3">
        <f t="shared" si="0"/>
        <v>10366.4169459371</v>
      </c>
    </row>
    <row r="14" spans="1:3">
      <c r="A14" s="1" t="s">
        <v>15</v>
      </c>
      <c r="B14" s="3">
        <v>1.16330744419812</v>
      </c>
      <c r="C14" s="3">
        <f t="shared" si="0"/>
        <v>13683.3223808593</v>
      </c>
    </row>
    <row r="15" spans="1:3">
      <c r="A15" s="1" t="s">
        <v>16</v>
      </c>
      <c r="B15" s="3">
        <v>0.962142129353633</v>
      </c>
      <c r="C15" s="3">
        <f t="shared" si="0"/>
        <v>11317.1294465731</v>
      </c>
    </row>
    <row r="16" spans="1:3">
      <c r="A16" s="1" t="s">
        <v>17</v>
      </c>
      <c r="B16" s="3">
        <v>1.47897747338581</v>
      </c>
      <c r="C16" s="3">
        <f t="shared" si="0"/>
        <v>17396.3690022775</v>
      </c>
    </row>
    <row r="17" spans="1:3">
      <c r="A17" s="1" t="s">
        <v>18</v>
      </c>
      <c r="B17" s="3">
        <v>0.863013701902954</v>
      </c>
      <c r="C17" s="3">
        <f t="shared" si="0"/>
        <v>10151.1382576744</v>
      </c>
    </row>
    <row r="18" spans="1:3">
      <c r="A18" s="1" t="s">
        <v>19</v>
      </c>
      <c r="B18" s="3">
        <v>0.846019156031884</v>
      </c>
      <c r="C18" s="3">
        <f t="shared" si="0"/>
        <v>9951.24110148411</v>
      </c>
    </row>
    <row r="19" spans="1:3">
      <c r="A19" s="1" t="s">
        <v>20</v>
      </c>
      <c r="B19" s="3">
        <v>1.85642330590939</v>
      </c>
      <c r="C19" s="3">
        <f t="shared" si="0"/>
        <v>21836.0491861278</v>
      </c>
    </row>
    <row r="20" spans="1:3">
      <c r="A20" s="1" t="s">
        <v>21</v>
      </c>
      <c r="B20" s="3">
        <v>0.890779478971451</v>
      </c>
      <c r="C20" s="3">
        <f t="shared" si="0"/>
        <v>10477.7312668382</v>
      </c>
    </row>
    <row r="21" spans="1:3">
      <c r="A21" s="1" t="s">
        <v>22</v>
      </c>
      <c r="B21" s="3">
        <v>1.05115878036883</v>
      </c>
      <c r="C21" s="3">
        <f t="shared" si="0"/>
        <v>12364.1815729737</v>
      </c>
    </row>
    <row r="22" spans="1:3">
      <c r="A22" s="1" t="s">
        <v>23</v>
      </c>
      <c r="B22" s="3">
        <v>0.808508292194558</v>
      </c>
      <c r="C22" s="3">
        <f t="shared" si="0"/>
        <v>9510.02219135804</v>
      </c>
    </row>
    <row r="23" spans="1:3">
      <c r="A23" s="1" t="s">
        <v>24</v>
      </c>
      <c r="B23" s="3">
        <v>0.876999880409154</v>
      </c>
      <c r="C23" s="3">
        <f t="shared" si="0"/>
        <v>10315.649703321</v>
      </c>
    </row>
    <row r="24" spans="1:3">
      <c r="A24" s="1" t="s">
        <v>25</v>
      </c>
      <c r="B24" s="3">
        <v>0.622005396677448</v>
      </c>
      <c r="C24" s="3">
        <f t="shared" si="0"/>
        <v>7316.29493804072</v>
      </c>
    </row>
    <row r="25" spans="1:3">
      <c r="A25" s="1" t="s">
        <v>26</v>
      </c>
      <c r="B25" s="3">
        <v>1.0879599437101</v>
      </c>
      <c r="C25" s="3">
        <f t="shared" si="0"/>
        <v>12797.052680694</v>
      </c>
    </row>
    <row r="26" spans="1:3">
      <c r="A26" s="1" t="s">
        <v>27</v>
      </c>
      <c r="B26" s="3">
        <v>0.716553831143373</v>
      </c>
      <c r="C26" s="3">
        <f t="shared" si="0"/>
        <v>8428.41428005575</v>
      </c>
    </row>
    <row r="27" spans="1:3">
      <c r="A27" s="1" t="s">
        <v>28</v>
      </c>
      <c r="B27" s="3">
        <v>0.44276271289055</v>
      </c>
      <c r="C27" s="3">
        <f t="shared" si="0"/>
        <v>5207.96541698519</v>
      </c>
    </row>
    <row r="28" spans="1:3">
      <c r="A28" s="1" t="s">
        <v>29</v>
      </c>
      <c r="B28" s="3">
        <v>0.45745440183146</v>
      </c>
      <c r="C28" s="3">
        <f t="shared" si="0"/>
        <v>5380.77537973442</v>
      </c>
    </row>
    <row r="29" spans="1:3">
      <c r="A29" s="1" t="s">
        <v>30</v>
      </c>
      <c r="B29" s="3">
        <v>0.649710741783176</v>
      </c>
      <c r="C29" s="3">
        <f t="shared" si="0"/>
        <v>7642.17712047268</v>
      </c>
    </row>
    <row r="30" spans="1:3">
      <c r="A30" s="1" t="s">
        <v>31</v>
      </c>
      <c r="B30" s="3">
        <v>0.834460270484639</v>
      </c>
      <c r="C30" s="3">
        <f t="shared" si="0"/>
        <v>9815.28051935663</v>
      </c>
    </row>
    <row r="31" spans="1:3">
      <c r="A31" s="1" t="s">
        <v>32</v>
      </c>
      <c r="B31" s="3">
        <v>0.672159717076531</v>
      </c>
      <c r="C31" s="3">
        <f t="shared" si="0"/>
        <v>7906.2316209325</v>
      </c>
    </row>
    <row r="32" spans="1:3">
      <c r="C32" s="2">
        <f>AVERAGE(C2:C31)</f>
        <v>10535.6461546573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SongWu</dc:creator>
  <cp:lastModifiedBy>吴松</cp:lastModifiedBy>
  <dcterms:created xsi:type="dcterms:W3CDTF">2023-05-12T11:15:00Z</dcterms:created>
  <dcterms:modified xsi:type="dcterms:W3CDTF">2026-10-18T08:08:36Z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0D7D4FAD98404C1B82FA0A1C87CF02BA_12</vt:lpwstr>
  </property>
  <property fmtid="{D5CDD505-2E9C-101B-9397-08002B2CF9AE}" pid="4" name="CalculationRule">
    <vt:i4>0</vt:i4>
  </property>
</Properties>
</file>