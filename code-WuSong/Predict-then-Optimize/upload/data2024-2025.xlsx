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File\PyCharm File\NBFC-new\upload\"/>
    </mc:Choice>
  </mc:AlternateContent>
  <bookViews>
    <workbookView windowWidth="21094" windowHeight="9608" firstSheet="4" activeTab="5"/>
  </bookViews>
  <sheets>
    <sheet name="2024床位使用率" sheetId="1" r:id="rId1"/>
    <sheet name="2024平均住院日" sheetId="2" r:id="rId2"/>
    <sheet name="2025床位使用率" sheetId="4" r:id="rId3"/>
    <sheet name="2025平均住院日" sheetId="5" r:id="rId4"/>
    <sheet name="All-利用率" sheetId="6" r:id="rId5"/>
    <sheet name="All-需求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<sst xmlns="http://schemas.openxmlformats.org/spreadsheetml/2006/main" count="316" uniqueCount="107">
  <si>
    <t>科室</t>
  </si>
  <si>
    <t>床位使用率</t>
  </si>
  <si>
    <r>
      <rPr>
        <sz val="11"/>
        <color theme="1"/>
        <rFont val="宋体"/>
        <charset val="134"/>
      </rPr>
      <t>床位使用率</t>
    </r>
  </si>
  <si>
    <t>Avg.</t>
  </si>
  <si>
    <t>心血管内科</t>
  </si>
  <si>
    <t>血液内科</t>
  </si>
  <si>
    <t>神经内科</t>
  </si>
  <si>
    <t>呼吸内科</t>
  </si>
  <si>
    <t>消化内科</t>
  </si>
  <si>
    <t>内分泌科</t>
  </si>
  <si>
    <t>肾病内科</t>
  </si>
  <si>
    <t>康复医学科</t>
  </si>
  <si>
    <t>风湿免疫科</t>
  </si>
  <si>
    <t>骨一科</t>
  </si>
  <si>
    <t>骨二科</t>
  </si>
  <si>
    <t>骨三科</t>
  </si>
  <si>
    <t>神经外科</t>
  </si>
  <si>
    <t>普通外科</t>
  </si>
  <si>
    <t>小儿外科</t>
  </si>
  <si>
    <t>肿瘤科</t>
  </si>
  <si>
    <t>胸外科</t>
  </si>
  <si>
    <t>心外科</t>
  </si>
  <si>
    <t>泌尿外科</t>
  </si>
  <si>
    <t>放疗科</t>
  </si>
  <si>
    <t>骨关节外科</t>
  </si>
  <si>
    <t>移植外科</t>
  </si>
  <si>
    <t>整形美容烧伤</t>
  </si>
  <si>
    <t>感染科</t>
  </si>
  <si>
    <t>小儿内科</t>
  </si>
  <si>
    <t>眼科</t>
  </si>
  <si>
    <t>耳鼻喉科</t>
  </si>
  <si>
    <t>皮肤科</t>
  </si>
  <si>
    <t>中医科</t>
  </si>
  <si>
    <t>全科医学科</t>
  </si>
  <si>
    <t>平均住院日</t>
  </si>
  <si>
    <r>
      <rPr>
        <sz val="11"/>
        <color theme="1"/>
        <rFont val="宋体"/>
        <charset val="134"/>
      </rPr>
      <t>平均住院日</t>
    </r>
  </si>
  <si>
    <t>-</t>
  </si>
  <si>
    <r>
      <rPr>
        <sz val="11"/>
        <color theme="1"/>
        <rFont val="宋体"/>
        <charset val="134"/>
      </rPr>
      <t>科室</t>
    </r>
  </si>
  <si>
    <r>
      <rPr>
        <sz val="11"/>
        <color theme="1"/>
        <rFont val="宋体"/>
        <charset val="134"/>
      </rPr>
      <t>床位数</t>
    </r>
  </si>
  <si>
    <r>
      <rPr>
        <sz val="11"/>
        <color theme="1"/>
        <rFont val="宋体"/>
        <charset val="134"/>
      </rPr>
      <t>服务能力</t>
    </r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</si>
  <si>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</si>
  <si>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</si>
  <si>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</si>
  <si>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</si>
  <si>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</si>
  <si>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</si>
  <si>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</si>
  <si>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</si>
  <si>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</si>
  <si>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</si>
  <si>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</si>
  <si>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</si>
  <si>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</si>
  <si>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</si>
  <si>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</si>
  <si>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</si>
  <si>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</si>
  <si>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</si>
  <si>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</si>
  <si>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</si>
  <si>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</si>
  <si>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</si>
  <si>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</si>
  <si>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</si>
  <si>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</si>
  <si>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</si>
  <si>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</si>
  <si>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</si>
  <si>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</si>
  <si>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</si>
  <si>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</si>
  <si>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</si>
  <si>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</si>
  <si>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</si>
  <si>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</si>
  <si>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</si>
  <si>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r>
      <rPr>
        <sz val="11"/>
        <color theme="1"/>
        <rFont val="宋体"/>
        <charset val="134"/>
      </rPr>
      <t>心血管内科</t>
    </r>
  </si>
  <si>
    <r>
      <rPr>
        <sz val="11"/>
        <color theme="1"/>
        <rFont val="宋体"/>
        <charset val="134"/>
      </rPr>
      <t>血液内科</t>
    </r>
  </si>
  <si>
    <r>
      <rPr>
        <sz val="11"/>
        <color theme="1"/>
        <rFont val="宋体"/>
        <charset val="134"/>
      </rPr>
      <t>神经内科</t>
    </r>
  </si>
  <si>
    <r>
      <rPr>
        <sz val="11"/>
        <color theme="1"/>
        <rFont val="宋体"/>
        <charset val="134"/>
      </rPr>
      <t>呼吸内科</t>
    </r>
  </si>
  <si>
    <r>
      <rPr>
        <sz val="11"/>
        <color theme="1"/>
        <rFont val="宋体"/>
        <charset val="134"/>
      </rPr>
      <t>消化内科</t>
    </r>
  </si>
  <si>
    <r>
      <rPr>
        <sz val="11"/>
        <color theme="1"/>
        <rFont val="宋体"/>
        <charset val="134"/>
      </rPr>
      <t>内分泌科</t>
    </r>
  </si>
  <si>
    <r>
      <rPr>
        <sz val="11"/>
        <color theme="1"/>
        <rFont val="宋体"/>
        <charset val="134"/>
      </rPr>
      <t>肾病内科</t>
    </r>
  </si>
  <si>
    <r>
      <rPr>
        <sz val="11"/>
        <color theme="1"/>
        <rFont val="宋体"/>
        <charset val="134"/>
      </rPr>
      <t>康复医学科</t>
    </r>
  </si>
  <si>
    <r>
      <rPr>
        <sz val="11"/>
        <color theme="1"/>
        <rFont val="宋体"/>
        <charset val="134"/>
      </rPr>
      <t>风湿免疫科</t>
    </r>
  </si>
  <si>
    <r>
      <rPr>
        <sz val="11"/>
        <color theme="1"/>
        <rFont val="宋体"/>
        <charset val="134"/>
      </rPr>
      <t>运动医学与小儿骨科</t>
    </r>
  </si>
  <si>
    <r>
      <rPr>
        <sz val="11"/>
        <color theme="1"/>
        <rFont val="宋体"/>
        <charset val="134"/>
      </rPr>
      <t>脊柱与骨肿瘤科</t>
    </r>
  </si>
  <si>
    <r>
      <rPr>
        <sz val="11"/>
        <color theme="1"/>
        <rFont val="宋体"/>
        <charset val="134"/>
      </rPr>
      <t>创伤与手外科</t>
    </r>
  </si>
  <si>
    <r>
      <rPr>
        <sz val="11"/>
        <color theme="1"/>
        <rFont val="宋体"/>
        <charset val="134"/>
      </rPr>
      <t>神经外科</t>
    </r>
  </si>
  <si>
    <r>
      <rPr>
        <sz val="11"/>
        <color theme="1"/>
        <rFont val="宋体"/>
        <charset val="134"/>
      </rPr>
      <t>普通外科</t>
    </r>
  </si>
  <si>
    <r>
      <rPr>
        <sz val="11"/>
        <color theme="1"/>
        <rFont val="宋体"/>
        <charset val="134"/>
      </rPr>
      <t>小儿外科</t>
    </r>
  </si>
  <si>
    <r>
      <rPr>
        <sz val="11"/>
        <color theme="1"/>
        <rFont val="宋体"/>
        <charset val="134"/>
      </rPr>
      <t>肿瘤科</t>
    </r>
  </si>
  <si>
    <r>
      <rPr>
        <sz val="11"/>
        <color theme="1"/>
        <rFont val="宋体"/>
        <charset val="134"/>
      </rPr>
      <t>胸外科</t>
    </r>
  </si>
  <si>
    <r>
      <rPr>
        <sz val="11"/>
        <color theme="1"/>
        <rFont val="宋体"/>
        <charset val="134"/>
      </rPr>
      <t>心外科</t>
    </r>
  </si>
  <si>
    <r>
      <rPr>
        <sz val="11"/>
        <color theme="1"/>
        <rFont val="宋体"/>
        <charset val="134"/>
      </rPr>
      <t>泌尿外科</t>
    </r>
  </si>
  <si>
    <r>
      <rPr>
        <sz val="11"/>
        <color theme="1"/>
        <rFont val="宋体"/>
        <charset val="134"/>
      </rPr>
      <t>放疗科</t>
    </r>
  </si>
  <si>
    <r>
      <rPr>
        <sz val="11"/>
        <color theme="1"/>
        <rFont val="宋体"/>
        <charset val="134"/>
      </rPr>
      <t>骨关节外科</t>
    </r>
  </si>
  <si>
    <r>
      <rPr>
        <sz val="11"/>
        <color theme="1"/>
        <rFont val="宋体"/>
        <charset val="134"/>
      </rPr>
      <t>移植外科</t>
    </r>
  </si>
  <si>
    <r>
      <rPr>
        <sz val="11"/>
        <color theme="1"/>
        <rFont val="宋体"/>
        <charset val="134"/>
      </rPr>
      <t>整形美容烧伤</t>
    </r>
  </si>
  <si>
    <r>
      <rPr>
        <sz val="11"/>
        <color theme="1"/>
        <rFont val="宋体"/>
        <charset val="134"/>
      </rPr>
      <t>感染科</t>
    </r>
  </si>
  <si>
    <r>
      <rPr>
        <sz val="11"/>
        <color theme="1"/>
        <rFont val="宋体"/>
        <charset val="134"/>
      </rPr>
      <t>小儿内科</t>
    </r>
  </si>
  <si>
    <r>
      <rPr>
        <sz val="11"/>
        <color theme="1"/>
        <rFont val="宋体"/>
        <charset val="134"/>
      </rPr>
      <t>眼科</t>
    </r>
  </si>
  <si>
    <r>
      <rPr>
        <sz val="11"/>
        <color theme="1"/>
        <rFont val="宋体"/>
        <charset val="134"/>
      </rPr>
      <t>耳鼻喉科</t>
    </r>
  </si>
  <si>
    <r>
      <rPr>
        <sz val="11"/>
        <color theme="1"/>
        <rFont val="宋体"/>
        <charset val="134"/>
      </rPr>
      <t>皮肤科</t>
    </r>
  </si>
  <si>
    <r>
      <rPr>
        <sz val="11"/>
        <color theme="1"/>
        <rFont val="宋体"/>
        <charset val="134"/>
      </rPr>
      <t>中医科</t>
    </r>
  </si>
  <si>
    <r>
      <rPr>
        <sz val="11"/>
        <color theme="1"/>
        <rFont val="宋体"/>
        <charset val="134"/>
      </rPr>
      <t>全科医学科</t>
    </r>
  </si>
  <si>
    <t>床位需求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</si>
</sst>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3" fillId="0" borderId="0"/>
  </cellStyleXfs>
  <cellXfs count="26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 applyAlignment="1">
      <alignment horizontal="right" vertical="center"/>
    </xf>
    <xf numFmtId="0" fontId="3" fillId="0" borderId="0" xfId="0" applyFont="1" applyFill="1" applyBorder="1" applyAlignment="1">
      <alignment horizontal="right" vertical="center" wrapText="1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1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176" fontId="2" fillId="0" borderId="0" xfId="0" applyNumberFormat="1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1"/>
  <sheetViews>
    <sheetView workbookViewId="0">
      <selection activeCell="C31" sqref="C31"/>
    </sheetView>
  </sheetViews>
  <sheetFormatPr defaultColWidth="9" defaultRowHeight="14.1"/>
  <cols>
    <col min="1" max="1" width="16.3063063063063" style="13" customWidth="1"/>
    <col min="2" max="2" width="11.7477477477477" style="13" customWidth="1"/>
    <col min="3" max="3" width="11.7477477477477" style="14" customWidth="1"/>
    <col min="4" max="4" width="11.4234234234234" style="15" customWidth="1"/>
    <col min="5" max="5" width="11.7477477477477" style="21" customWidth="1"/>
    <col min="6" max="6" width="11.7477477477477" style="22" customWidth="1"/>
    <col min="7" max="7" width="11.4234234234234" style="23" customWidth="1"/>
    <col min="8" max="8" width="11.4234234234234" style="24" customWidth="1"/>
    <col min="9" max="9" width="11.7477477477477" style="21" customWidth="1"/>
    <col min="10" max="10" width="11.4234234234234" style="21" customWidth="1"/>
    <col min="11" max="13" width="11.4234234234234" style="22" customWidth="1"/>
    <col min="14" max="14" width="7.54954954954955" style="20" customWidth="1"/>
  </cols>
  <sheetData>
    <row r="1" ht="14.15" spans="1:14">
      <c r="A1" s="14" t="s">
        <v>0</v>
      </c>
      <c r="B1" s="14" t="s">
        <v>1</v>
      </c>
      <c r="C1" s="14" t="s">
        <v>1</v>
      </c>
      <c r="D1" s="14" t="s">
        <v>2</v>
      </c>
      <c r="E1" s="22" t="s">
        <v>2</v>
      </c>
      <c r="F1" s="22" t="s">
        <v>2</v>
      </c>
      <c r="G1" s="22" t="s">
        <v>2</v>
      </c>
      <c r="H1" s="22" t="s">
        <v>2</v>
      </c>
      <c r="I1" s="22" t="s">
        <v>2</v>
      </c>
      <c r="J1" s="22" t="s">
        <v>2</v>
      </c>
      <c r="K1" s="22" t="s">
        <v>2</v>
      </c>
      <c r="L1" s="22" t="s">
        <v>2</v>
      </c>
      <c r="M1" s="22" t="s">
        <v>2</v>
      </c>
      <c r="N1" s="20" t="s">
        <v>3</v>
      </c>
    </row>
    <row r="2" spans="1:14">
      <c r="A2" s="14" t="s">
        <v>4</v>
      </c>
      <c r="B2" s="22">
        <v>92.65</v>
      </c>
      <c r="C2" s="22">
        <v>53.12</v>
      </c>
      <c r="D2" s="22">
        <v>103.37</v>
      </c>
      <c r="E2" s="22">
        <v>88.84</v>
      </c>
      <c r="F2" s="22">
        <v>81.82</v>
      </c>
      <c r="G2" s="22">
        <v>72.63</v>
      </c>
      <c r="H2" s="22">
        <v>59.17</v>
      </c>
      <c r="I2" s="22">
        <v>69.12</v>
      </c>
      <c r="J2" s="22">
        <v>74.34</v>
      </c>
      <c r="K2" s="22">
        <v>85.03</v>
      </c>
      <c r="L2" s="22">
        <v>99.96</v>
      </c>
      <c r="M2" s="22">
        <v>98.9</v>
      </c>
      <c r="N2" s="20">
        <f t="shared" ref="N2:N31" si="0">AVERAGE(B2:M2)</f>
        <v>81.5791666666667</v>
      </c>
    </row>
    <row r="3" spans="1:14">
      <c r="A3" s="14" t="s">
        <v>5</v>
      </c>
      <c r="B3" s="22">
        <v>98.86</v>
      </c>
      <c r="C3" s="22">
        <v>86.8</v>
      </c>
      <c r="D3" s="22">
        <v>99.49</v>
      </c>
      <c r="E3" s="22">
        <v>98.9</v>
      </c>
      <c r="F3" s="22">
        <v>97.28</v>
      </c>
      <c r="G3" s="22">
        <v>98.37</v>
      </c>
      <c r="H3" s="22">
        <v>98.7</v>
      </c>
      <c r="I3" s="22">
        <v>97.61</v>
      </c>
      <c r="J3" s="22">
        <v>97.22</v>
      </c>
      <c r="K3" s="22">
        <v>95.58</v>
      </c>
      <c r="L3" s="22">
        <v>98.19</v>
      </c>
      <c r="M3" s="22">
        <v>98.5</v>
      </c>
      <c r="N3" s="20">
        <f t="shared" si="0"/>
        <v>97.125</v>
      </c>
    </row>
    <row r="4" spans="1:14">
      <c r="A4" s="14" t="s">
        <v>6</v>
      </c>
      <c r="B4" s="22">
        <v>106.55</v>
      </c>
      <c r="C4" s="22">
        <v>74.59</v>
      </c>
      <c r="D4" s="22">
        <v>108.61</v>
      </c>
      <c r="E4" s="22">
        <v>108.23</v>
      </c>
      <c r="F4" s="22">
        <v>101.1</v>
      </c>
      <c r="G4" s="22">
        <v>98.37</v>
      </c>
      <c r="H4" s="22">
        <v>108.81</v>
      </c>
      <c r="I4" s="22">
        <v>107.65</v>
      </c>
      <c r="J4" s="22">
        <v>107.93</v>
      </c>
      <c r="K4" s="22">
        <v>104.32</v>
      </c>
      <c r="L4" s="22">
        <v>112.2</v>
      </c>
      <c r="M4" s="22">
        <v>110.4</v>
      </c>
      <c r="N4" s="20">
        <f t="shared" si="0"/>
        <v>104.063333333333</v>
      </c>
    </row>
    <row r="5" spans="1:14">
      <c r="A5" s="14" t="s">
        <v>7</v>
      </c>
      <c r="B5" s="22">
        <v>100.61</v>
      </c>
      <c r="C5" s="22">
        <v>81.1</v>
      </c>
      <c r="D5" s="22">
        <v>99.88</v>
      </c>
      <c r="E5" s="22">
        <v>99</v>
      </c>
      <c r="F5" s="22">
        <v>97.32</v>
      </c>
      <c r="G5" s="22">
        <v>97.07</v>
      </c>
      <c r="H5" s="22">
        <v>98.05</v>
      </c>
      <c r="I5" s="22">
        <v>97.9</v>
      </c>
      <c r="J5" s="22">
        <v>94.84</v>
      </c>
      <c r="K5" s="22">
        <v>72.06</v>
      </c>
      <c r="L5" s="22">
        <v>80.61</v>
      </c>
      <c r="M5" s="22">
        <v>101.5</v>
      </c>
      <c r="N5" s="20">
        <f t="shared" si="0"/>
        <v>93.3283333333333</v>
      </c>
    </row>
    <row r="6" spans="1:14">
      <c r="A6" s="14" t="s">
        <v>8</v>
      </c>
      <c r="B6" s="22">
        <v>111.77</v>
      </c>
      <c r="C6" s="22">
        <v>80.34</v>
      </c>
      <c r="D6" s="22">
        <v>122.35</v>
      </c>
      <c r="E6" s="22">
        <v>114.33</v>
      </c>
      <c r="F6" s="22">
        <v>113.34</v>
      </c>
      <c r="G6" s="22">
        <v>114.64</v>
      </c>
      <c r="H6" s="22">
        <v>119.85</v>
      </c>
      <c r="I6" s="22">
        <v>120.52</v>
      </c>
      <c r="J6" s="22">
        <v>115.02</v>
      </c>
      <c r="K6" s="22">
        <v>111.14</v>
      </c>
      <c r="L6" s="22">
        <v>120.76</v>
      </c>
      <c r="M6" s="22">
        <v>119.4</v>
      </c>
      <c r="N6" s="20">
        <f t="shared" si="0"/>
        <v>113.621666666667</v>
      </c>
    </row>
    <row r="7" spans="1:14">
      <c r="A7" s="14" t="s">
        <v>9</v>
      </c>
      <c r="B7" s="22">
        <v>84.95</v>
      </c>
      <c r="C7" s="22">
        <v>42.29</v>
      </c>
      <c r="D7" s="22">
        <v>97.23</v>
      </c>
      <c r="E7" s="22">
        <v>84.33</v>
      </c>
      <c r="F7" s="22">
        <v>82.06</v>
      </c>
      <c r="G7" s="22">
        <v>75.61</v>
      </c>
      <c r="H7" s="22">
        <v>77.65</v>
      </c>
      <c r="I7" s="22">
        <v>65.14</v>
      </c>
      <c r="J7" s="22">
        <v>75.73</v>
      </c>
      <c r="K7" s="22">
        <v>79.45</v>
      </c>
      <c r="L7" s="22">
        <v>95.09</v>
      </c>
      <c r="M7" s="22">
        <v>98.1</v>
      </c>
      <c r="N7" s="20">
        <f t="shared" si="0"/>
        <v>79.8025</v>
      </c>
    </row>
    <row r="8" spans="1:14">
      <c r="A8" s="14" t="s">
        <v>10</v>
      </c>
      <c r="B8" s="22">
        <v>181.58</v>
      </c>
      <c r="C8" s="22">
        <v>127.36</v>
      </c>
      <c r="D8" s="22">
        <v>179.64</v>
      </c>
      <c r="E8" s="22">
        <v>120.78</v>
      </c>
      <c r="F8" s="22">
        <v>110.27</v>
      </c>
      <c r="G8" s="22">
        <v>123.17</v>
      </c>
      <c r="H8" s="22">
        <v>123.92</v>
      </c>
      <c r="I8" s="22">
        <v>98.39</v>
      </c>
      <c r="J8" s="22">
        <v>112.72</v>
      </c>
      <c r="K8" s="22">
        <v>118.54</v>
      </c>
      <c r="L8" s="22">
        <v>135.17</v>
      </c>
      <c r="M8" s="22">
        <v>138.9</v>
      </c>
      <c r="N8" s="20">
        <f t="shared" si="0"/>
        <v>130.87</v>
      </c>
    </row>
    <row r="9" spans="1:14">
      <c r="A9" s="14" t="s">
        <v>11</v>
      </c>
      <c r="B9" s="22">
        <v>125.08</v>
      </c>
      <c r="C9" s="22">
        <v>76.9</v>
      </c>
      <c r="D9" s="22">
        <v>122.98</v>
      </c>
      <c r="E9" s="22">
        <v>123.25</v>
      </c>
      <c r="F9" s="22">
        <v>118.06</v>
      </c>
      <c r="G9" s="22">
        <v>115.42</v>
      </c>
      <c r="H9" s="22">
        <v>124.92</v>
      </c>
      <c r="I9" s="22">
        <v>120.24</v>
      </c>
      <c r="J9" s="22">
        <v>110.25</v>
      </c>
      <c r="K9" s="22">
        <v>104.75</v>
      </c>
      <c r="L9" s="22">
        <v>121</v>
      </c>
      <c r="M9" s="22">
        <v>126.5</v>
      </c>
      <c r="N9" s="20">
        <f t="shared" si="0"/>
        <v>115.779166666667</v>
      </c>
    </row>
    <row r="10" spans="1:14">
      <c r="A10" s="14" t="s">
        <v>12</v>
      </c>
      <c r="B10" s="22">
        <v>108.76</v>
      </c>
      <c r="C10" s="22">
        <v>68.28</v>
      </c>
      <c r="D10" s="22">
        <v>116.5</v>
      </c>
      <c r="E10" s="22">
        <v>110.48</v>
      </c>
      <c r="F10" s="22">
        <v>104.06</v>
      </c>
      <c r="G10" s="22">
        <v>113.62</v>
      </c>
      <c r="H10" s="22">
        <v>114.01</v>
      </c>
      <c r="I10" s="22">
        <v>109.77</v>
      </c>
      <c r="J10" s="22">
        <v>90.29</v>
      </c>
      <c r="K10" s="22">
        <v>95.11</v>
      </c>
      <c r="L10" s="22">
        <v>113.71</v>
      </c>
      <c r="M10" s="22">
        <v>113.3</v>
      </c>
      <c r="N10" s="20">
        <f t="shared" si="0"/>
        <v>104.824166666667</v>
      </c>
    </row>
    <row r="11" spans="1:14">
      <c r="A11" s="14" t="s">
        <v>13</v>
      </c>
      <c r="B11" s="22">
        <v>78.71</v>
      </c>
      <c r="C11" s="22">
        <v>54.48</v>
      </c>
      <c r="D11" s="22">
        <v>96.06</v>
      </c>
      <c r="E11" s="22">
        <v>88.81</v>
      </c>
      <c r="F11" s="22">
        <v>95.41</v>
      </c>
      <c r="G11" s="22">
        <v>108.07</v>
      </c>
      <c r="H11" s="22">
        <v>119.07</v>
      </c>
      <c r="I11" s="22">
        <v>114.91</v>
      </c>
      <c r="J11" s="22">
        <v>98.81</v>
      </c>
      <c r="K11" s="22">
        <v>89.74</v>
      </c>
      <c r="L11" s="22">
        <v>110.3</v>
      </c>
      <c r="M11" s="22">
        <v>105.3</v>
      </c>
      <c r="N11" s="20">
        <f t="shared" si="0"/>
        <v>96.6391666666667</v>
      </c>
    </row>
    <row r="12" spans="1:14">
      <c r="A12" s="14" t="s">
        <v>14</v>
      </c>
      <c r="B12" s="22">
        <v>73.76</v>
      </c>
      <c r="C12" s="22">
        <v>46.28</v>
      </c>
      <c r="D12" s="22">
        <v>96.56</v>
      </c>
      <c r="E12" s="22">
        <v>91.48</v>
      </c>
      <c r="F12" s="22">
        <v>94.48</v>
      </c>
      <c r="G12" s="22">
        <v>77.11</v>
      </c>
      <c r="H12" s="22">
        <v>103.44</v>
      </c>
      <c r="I12" s="22">
        <v>101.58</v>
      </c>
      <c r="J12" s="22">
        <v>87.78</v>
      </c>
      <c r="K12" s="22">
        <v>95.91</v>
      </c>
      <c r="L12" s="22">
        <v>97.04</v>
      </c>
      <c r="M12" s="22">
        <v>105.7</v>
      </c>
      <c r="N12" s="20">
        <f t="shared" si="0"/>
        <v>89.26</v>
      </c>
    </row>
    <row r="13" spans="1:14">
      <c r="A13" s="14" t="s">
        <v>15</v>
      </c>
      <c r="B13" s="22">
        <v>104.46</v>
      </c>
      <c r="C13" s="22">
        <v>75.25</v>
      </c>
      <c r="D13" s="22">
        <v>117.08</v>
      </c>
      <c r="E13" s="22">
        <v>112.25</v>
      </c>
      <c r="F13" s="22">
        <v>90.53</v>
      </c>
      <c r="G13" s="22">
        <v>112.55</v>
      </c>
      <c r="H13" s="22">
        <v>112.52</v>
      </c>
      <c r="I13" s="22">
        <v>99.15</v>
      </c>
      <c r="J13" s="22">
        <v>92.55</v>
      </c>
      <c r="K13" s="22">
        <v>103.6</v>
      </c>
      <c r="L13" s="22">
        <v>105.59</v>
      </c>
      <c r="M13" s="22">
        <v>98.8</v>
      </c>
      <c r="N13" s="20">
        <f t="shared" si="0"/>
        <v>102.0275</v>
      </c>
    </row>
    <row r="14" spans="1:14">
      <c r="A14" s="14" t="s">
        <v>16</v>
      </c>
      <c r="B14" s="22">
        <v>85.17</v>
      </c>
      <c r="C14" s="22">
        <v>53.18</v>
      </c>
      <c r="D14" s="22">
        <v>101.02</v>
      </c>
      <c r="E14" s="22">
        <v>95.85</v>
      </c>
      <c r="F14" s="22">
        <v>80.7</v>
      </c>
      <c r="G14" s="22">
        <v>83.96</v>
      </c>
      <c r="H14" s="22">
        <v>81.19</v>
      </c>
      <c r="I14" s="22">
        <v>83.38</v>
      </c>
      <c r="J14" s="22">
        <v>88.43</v>
      </c>
      <c r="K14" s="22">
        <v>86.85</v>
      </c>
      <c r="L14" s="22">
        <v>107.42</v>
      </c>
      <c r="M14" s="22">
        <v>97</v>
      </c>
      <c r="N14" s="20">
        <f t="shared" si="0"/>
        <v>87.0125</v>
      </c>
    </row>
    <row r="15" spans="1:14">
      <c r="A15" s="14" t="s">
        <v>17</v>
      </c>
      <c r="B15" s="22">
        <v>131.15</v>
      </c>
      <c r="C15" s="22">
        <v>96.12</v>
      </c>
      <c r="D15" s="22">
        <v>134.74</v>
      </c>
      <c r="E15" s="22">
        <v>128.26</v>
      </c>
      <c r="F15" s="22">
        <v>121.79</v>
      </c>
      <c r="G15" s="22">
        <v>117.04</v>
      </c>
      <c r="H15" s="22">
        <v>123.99</v>
      </c>
      <c r="I15" s="22">
        <v>110.82</v>
      </c>
      <c r="J15" s="22">
        <v>112.74</v>
      </c>
      <c r="K15" s="22">
        <v>119.32</v>
      </c>
      <c r="L15" s="22">
        <v>125.22</v>
      </c>
      <c r="M15" s="22">
        <v>126.7</v>
      </c>
      <c r="N15" s="20">
        <f t="shared" si="0"/>
        <v>120.6575</v>
      </c>
    </row>
    <row r="16" spans="1:14">
      <c r="A16" s="14" t="s">
        <v>18</v>
      </c>
      <c r="B16" s="22">
        <v>117.78</v>
      </c>
      <c r="C16" s="22">
        <v>66.95</v>
      </c>
      <c r="D16" s="22">
        <v>79.07</v>
      </c>
      <c r="E16" s="22">
        <v>61.79</v>
      </c>
      <c r="F16" s="22">
        <v>63.26</v>
      </c>
      <c r="G16" s="22">
        <v>66.1</v>
      </c>
      <c r="H16" s="22">
        <v>111.09</v>
      </c>
      <c r="I16" s="22">
        <v>105.82</v>
      </c>
      <c r="J16" s="22">
        <v>77.4</v>
      </c>
      <c r="K16" s="22">
        <v>75.53</v>
      </c>
      <c r="L16" s="22">
        <v>82.28</v>
      </c>
      <c r="M16" s="22">
        <v>71</v>
      </c>
      <c r="N16" s="20">
        <f t="shared" si="0"/>
        <v>81.5058333333333</v>
      </c>
    </row>
    <row r="17" spans="1:14">
      <c r="A17" s="14" t="s">
        <v>19</v>
      </c>
      <c r="B17" s="22">
        <v>129.66</v>
      </c>
      <c r="C17" s="22">
        <v>88.39</v>
      </c>
      <c r="D17" s="22">
        <v>133.87</v>
      </c>
      <c r="E17" s="22">
        <v>127.11</v>
      </c>
      <c r="F17" s="22">
        <v>121.52</v>
      </c>
      <c r="G17" s="25">
        <v>123.25</v>
      </c>
      <c r="H17" s="22">
        <v>133.2</v>
      </c>
      <c r="I17" s="22">
        <v>133.91</v>
      </c>
      <c r="J17" s="22">
        <v>121.42</v>
      </c>
      <c r="K17" s="22">
        <v>106.88</v>
      </c>
      <c r="L17" s="22">
        <v>127.93</v>
      </c>
      <c r="M17" s="22">
        <v>124.9</v>
      </c>
      <c r="N17" s="20">
        <f t="shared" si="0"/>
        <v>122.67</v>
      </c>
    </row>
    <row r="18" spans="1:14">
      <c r="A18" s="14" t="s">
        <v>20</v>
      </c>
      <c r="B18" s="22">
        <v>88.84</v>
      </c>
      <c r="C18" s="22">
        <v>55.22</v>
      </c>
      <c r="D18" s="22">
        <v>99.06</v>
      </c>
      <c r="E18" s="22">
        <v>70.37</v>
      </c>
      <c r="F18" s="22">
        <v>84.59</v>
      </c>
      <c r="G18" s="22">
        <v>83.48</v>
      </c>
      <c r="H18" s="22">
        <v>90.14</v>
      </c>
      <c r="I18" s="22">
        <v>102.57</v>
      </c>
      <c r="J18" s="22">
        <v>82.08</v>
      </c>
      <c r="K18" s="22">
        <v>89.01</v>
      </c>
      <c r="L18" s="22">
        <v>96.76</v>
      </c>
      <c r="M18" s="22">
        <v>101</v>
      </c>
      <c r="N18" s="20">
        <f t="shared" si="0"/>
        <v>86.9266666666667</v>
      </c>
    </row>
    <row r="19" spans="1:14">
      <c r="A19" s="14" t="s">
        <v>21</v>
      </c>
      <c r="B19" s="22">
        <v>50.43</v>
      </c>
      <c r="C19" s="22">
        <v>25.63</v>
      </c>
      <c r="D19" s="22">
        <v>57.2</v>
      </c>
      <c r="E19" s="22">
        <v>59.89</v>
      </c>
      <c r="F19" s="22">
        <v>35.38</v>
      </c>
      <c r="G19" s="22">
        <v>21.56</v>
      </c>
      <c r="H19" s="22">
        <v>30.75</v>
      </c>
      <c r="I19" s="22">
        <v>34.62</v>
      </c>
      <c r="J19" s="22">
        <v>23.34</v>
      </c>
      <c r="K19" s="22">
        <v>28.69</v>
      </c>
      <c r="L19" s="22">
        <v>34.21</v>
      </c>
      <c r="M19" s="22">
        <v>27</v>
      </c>
      <c r="N19" s="20">
        <f t="shared" si="0"/>
        <v>35.725</v>
      </c>
    </row>
    <row r="20" spans="1:14">
      <c r="A20" s="14" t="s">
        <v>22</v>
      </c>
      <c r="B20" s="22">
        <v>114.77</v>
      </c>
      <c r="C20" s="22">
        <v>67.83</v>
      </c>
      <c r="D20" s="22">
        <v>120.5</v>
      </c>
      <c r="E20" s="22">
        <v>107.63</v>
      </c>
      <c r="F20" s="22">
        <v>103.65</v>
      </c>
      <c r="G20" s="22">
        <v>99.91</v>
      </c>
      <c r="H20" s="22">
        <v>102.89</v>
      </c>
      <c r="I20" s="22">
        <v>105.56</v>
      </c>
      <c r="J20" s="22">
        <v>95.61</v>
      </c>
      <c r="K20" s="22">
        <v>106.4</v>
      </c>
      <c r="L20" s="22">
        <v>130</v>
      </c>
      <c r="M20" s="22">
        <v>128</v>
      </c>
      <c r="N20" s="20">
        <f t="shared" si="0"/>
        <v>106.895833333333</v>
      </c>
    </row>
    <row r="21" spans="1:14">
      <c r="A21" s="14" t="s">
        <v>23</v>
      </c>
      <c r="B21" s="22">
        <v>126.73</v>
      </c>
      <c r="C21" s="22">
        <v>76.72</v>
      </c>
      <c r="D21" s="22">
        <v>126.38</v>
      </c>
      <c r="E21" s="22">
        <v>125.6</v>
      </c>
      <c r="F21" s="22">
        <v>125.86</v>
      </c>
      <c r="G21" s="22">
        <v>124.29</v>
      </c>
      <c r="H21" s="22">
        <v>124.6</v>
      </c>
      <c r="I21" s="22">
        <v>125.12</v>
      </c>
      <c r="J21" s="22">
        <v>125.42</v>
      </c>
      <c r="K21" s="22">
        <v>125.28</v>
      </c>
      <c r="L21" s="22">
        <v>142.62</v>
      </c>
      <c r="M21" s="22">
        <v>141.2</v>
      </c>
      <c r="N21" s="20">
        <f t="shared" si="0"/>
        <v>124.151666666667</v>
      </c>
    </row>
    <row r="22" spans="1:14">
      <c r="A22" s="14" t="s">
        <v>24</v>
      </c>
      <c r="B22" s="22">
        <v>97.74</v>
      </c>
      <c r="C22" s="22">
        <v>61.03</v>
      </c>
      <c r="D22" s="22">
        <v>117.18</v>
      </c>
      <c r="E22" s="22">
        <v>108.92</v>
      </c>
      <c r="F22" s="22">
        <v>96.77</v>
      </c>
      <c r="G22" s="22">
        <v>73.92</v>
      </c>
      <c r="H22" s="22">
        <v>102.9</v>
      </c>
      <c r="I22" s="22">
        <v>85.32</v>
      </c>
      <c r="J22" s="22">
        <v>104.17</v>
      </c>
      <c r="K22" s="22">
        <v>106.61</v>
      </c>
      <c r="L22" s="22">
        <v>117.17</v>
      </c>
      <c r="M22" s="22">
        <v>97.9</v>
      </c>
      <c r="N22" s="20">
        <f t="shared" si="0"/>
        <v>97.4691666666667</v>
      </c>
    </row>
    <row r="23" spans="1:14">
      <c r="A23" s="14" t="s">
        <v>25</v>
      </c>
      <c r="B23" s="22">
        <v>131.45</v>
      </c>
      <c r="C23" s="22">
        <v>104.48</v>
      </c>
      <c r="D23" s="22">
        <v>150</v>
      </c>
      <c r="E23" s="22">
        <v>99.07</v>
      </c>
      <c r="F23" s="22">
        <v>90.06</v>
      </c>
      <c r="G23" s="22">
        <v>100</v>
      </c>
      <c r="H23" s="22">
        <v>112.77</v>
      </c>
      <c r="I23" s="22">
        <v>120.52</v>
      </c>
      <c r="J23" s="22">
        <v>100.67</v>
      </c>
      <c r="K23" s="22">
        <v>99.35</v>
      </c>
      <c r="L23" s="22">
        <v>125.73</v>
      </c>
      <c r="M23" s="22">
        <v>130.5</v>
      </c>
      <c r="N23" s="20">
        <f t="shared" si="0"/>
        <v>113.716666666667</v>
      </c>
    </row>
    <row r="24" spans="1:14">
      <c r="A24" s="14" t="s">
        <v>26</v>
      </c>
      <c r="B24" s="22">
        <v>116.42</v>
      </c>
      <c r="C24" s="22">
        <v>90.91</v>
      </c>
      <c r="D24" s="22">
        <v>100.88</v>
      </c>
      <c r="E24" s="22">
        <v>100.76</v>
      </c>
      <c r="F24" s="22">
        <v>100.73</v>
      </c>
      <c r="G24" s="22">
        <v>102.58</v>
      </c>
      <c r="H24" s="22">
        <v>0</v>
      </c>
      <c r="I24" s="22">
        <v>92.23</v>
      </c>
      <c r="J24" s="22">
        <v>101.06</v>
      </c>
      <c r="K24" s="22">
        <v>101.9</v>
      </c>
      <c r="L24" s="22">
        <v>100.61</v>
      </c>
      <c r="M24" s="22">
        <v>98.2</v>
      </c>
      <c r="N24" s="20">
        <f t="shared" si="0"/>
        <v>92.19</v>
      </c>
    </row>
    <row r="25" spans="1:14">
      <c r="A25" s="14" t="s">
        <v>27</v>
      </c>
      <c r="B25" s="22">
        <v>125.92</v>
      </c>
      <c r="C25" s="22">
        <v>94.01</v>
      </c>
      <c r="D25" s="22">
        <v>135.6</v>
      </c>
      <c r="E25" s="22">
        <v>121.71</v>
      </c>
      <c r="F25" s="22">
        <v>115.25</v>
      </c>
      <c r="G25" s="22">
        <v>111.71</v>
      </c>
      <c r="H25" s="22">
        <v>123.92</v>
      </c>
      <c r="I25" s="22">
        <v>128.15</v>
      </c>
      <c r="J25" s="22">
        <v>121.98</v>
      </c>
      <c r="K25" s="22">
        <v>115.86</v>
      </c>
      <c r="L25" s="22">
        <v>126.39</v>
      </c>
      <c r="M25" s="22">
        <v>124.4</v>
      </c>
      <c r="N25" s="20">
        <f t="shared" si="0"/>
        <v>120.408333333333</v>
      </c>
    </row>
    <row r="26" spans="1:14">
      <c r="A26" s="14" t="s">
        <v>28</v>
      </c>
      <c r="B26" s="22">
        <v>110.53</v>
      </c>
      <c r="C26" s="22">
        <v>78.89</v>
      </c>
      <c r="D26" s="22">
        <v>83.87</v>
      </c>
      <c r="E26" s="22">
        <v>77.79</v>
      </c>
      <c r="F26" s="22">
        <v>69.53</v>
      </c>
      <c r="G26" s="22">
        <v>70.64</v>
      </c>
      <c r="H26" s="22">
        <v>82.74</v>
      </c>
      <c r="I26" s="22">
        <v>73.84</v>
      </c>
      <c r="J26" s="22">
        <v>69.76</v>
      </c>
      <c r="K26" s="22">
        <v>71.31</v>
      </c>
      <c r="L26" s="22">
        <v>90.76</v>
      </c>
      <c r="M26" s="22">
        <v>99.6</v>
      </c>
      <c r="N26" s="20">
        <f t="shared" si="0"/>
        <v>81.605</v>
      </c>
    </row>
    <row r="27" spans="1:14">
      <c r="A27" s="14" t="s">
        <v>29</v>
      </c>
      <c r="B27" s="22">
        <v>50.65</v>
      </c>
      <c r="C27" s="22">
        <v>30.26</v>
      </c>
      <c r="D27" s="22">
        <v>48.79</v>
      </c>
      <c r="E27" s="22">
        <v>41.08</v>
      </c>
      <c r="F27" s="22">
        <v>40.08</v>
      </c>
      <c r="G27" s="22">
        <v>33.92</v>
      </c>
      <c r="H27" s="22">
        <v>50.16</v>
      </c>
      <c r="I27" s="22">
        <v>40.24</v>
      </c>
      <c r="J27" s="22">
        <v>43.42</v>
      </c>
      <c r="K27" s="22">
        <v>45.08</v>
      </c>
      <c r="L27" s="22">
        <v>46.75</v>
      </c>
      <c r="M27" s="22">
        <v>63.1</v>
      </c>
      <c r="N27" s="20">
        <f t="shared" si="0"/>
        <v>44.4608333333333</v>
      </c>
    </row>
    <row r="28" spans="1:14">
      <c r="A28" s="14" t="s">
        <v>30</v>
      </c>
      <c r="B28" s="22">
        <v>102.88</v>
      </c>
      <c r="C28" s="22">
        <v>67.4</v>
      </c>
      <c r="D28" s="22">
        <v>101.36</v>
      </c>
      <c r="E28" s="22">
        <v>93.95</v>
      </c>
      <c r="F28" s="22">
        <v>90.17</v>
      </c>
      <c r="G28" s="22">
        <v>94.18</v>
      </c>
      <c r="H28" s="22">
        <v>102.33</v>
      </c>
      <c r="I28" s="22">
        <v>103.47</v>
      </c>
      <c r="J28" s="22">
        <v>85.31</v>
      </c>
      <c r="K28" s="22">
        <v>79.33</v>
      </c>
      <c r="L28" s="22">
        <v>97.62</v>
      </c>
      <c r="M28" s="22">
        <v>97.1</v>
      </c>
      <c r="N28" s="20">
        <f t="shared" si="0"/>
        <v>92.925</v>
      </c>
    </row>
    <row r="29" spans="1:14">
      <c r="A29" s="14" t="s">
        <v>31</v>
      </c>
      <c r="B29" s="22">
        <v>109.08</v>
      </c>
      <c r="C29" s="22">
        <v>77.64</v>
      </c>
      <c r="D29" s="22">
        <v>106.04</v>
      </c>
      <c r="E29" s="22">
        <v>98.9</v>
      </c>
      <c r="F29" s="22">
        <v>96.87</v>
      </c>
      <c r="G29" s="22">
        <v>87.14</v>
      </c>
      <c r="H29" s="22">
        <v>101.71</v>
      </c>
      <c r="I29" s="22">
        <v>99.17</v>
      </c>
      <c r="J29" s="22">
        <v>98.1</v>
      </c>
      <c r="K29" s="22">
        <v>94.37</v>
      </c>
      <c r="L29" s="22">
        <v>109.52</v>
      </c>
      <c r="M29" s="22">
        <v>101.8</v>
      </c>
      <c r="N29" s="20">
        <f t="shared" si="0"/>
        <v>98.3616666666667</v>
      </c>
    </row>
    <row r="30" spans="1:14">
      <c r="A30" s="14" t="s">
        <v>32</v>
      </c>
      <c r="B30" s="22">
        <v>74.68</v>
      </c>
      <c r="C30" s="22">
        <v>38.45</v>
      </c>
      <c r="D30" s="22">
        <v>98.15</v>
      </c>
      <c r="E30" s="22">
        <v>89</v>
      </c>
      <c r="F30" s="22">
        <v>89.92</v>
      </c>
      <c r="G30" s="22">
        <v>79.67</v>
      </c>
      <c r="H30" s="22">
        <v>81.77</v>
      </c>
      <c r="I30" s="22">
        <v>76.85</v>
      </c>
      <c r="J30" s="22">
        <v>105.92</v>
      </c>
      <c r="K30" s="22">
        <v>92.41</v>
      </c>
      <c r="L30" s="22">
        <v>119.75</v>
      </c>
      <c r="M30" s="22">
        <v>104.8</v>
      </c>
      <c r="N30" s="20">
        <f t="shared" si="0"/>
        <v>87.6141666666667</v>
      </c>
    </row>
    <row r="31" spans="1:14">
      <c r="A31" s="14" t="s">
        <v>33</v>
      </c>
      <c r="B31" s="22">
        <v>76.61</v>
      </c>
      <c r="C31" s="22">
        <v>51.21</v>
      </c>
      <c r="D31" s="22">
        <v>104.35</v>
      </c>
      <c r="E31" s="22">
        <v>86.83</v>
      </c>
      <c r="F31" s="22">
        <v>77.9</v>
      </c>
      <c r="G31" s="22">
        <v>74.67</v>
      </c>
      <c r="H31" s="22">
        <v>80</v>
      </c>
      <c r="I31" s="22">
        <v>84.19</v>
      </c>
      <c r="J31" s="22">
        <v>67.5</v>
      </c>
      <c r="K31" s="22">
        <v>76.93</v>
      </c>
      <c r="L31" s="22">
        <v>82.67</v>
      </c>
      <c r="M31" s="22">
        <v>84.2</v>
      </c>
      <c r="N31" s="20">
        <f t="shared" si="0"/>
        <v>78.9216666666667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31"/>
  <sheetViews>
    <sheetView workbookViewId="0">
      <selection activeCell="H25" sqref="H25"/>
    </sheetView>
  </sheetViews>
  <sheetFormatPr defaultColWidth="9" defaultRowHeight="14.1"/>
  <cols>
    <col min="1" max="1" width="16.3063063063063" style="13" customWidth="1"/>
    <col min="2" max="2" width="11.7477477477477" style="13" customWidth="1"/>
    <col min="3" max="3" width="11.7477477477477" style="14" customWidth="1"/>
    <col min="4" max="4" width="11.4234234234234" style="15" customWidth="1"/>
    <col min="5" max="5" width="11.7477477477477" style="16" customWidth="1"/>
    <col min="6" max="6" width="11.7477477477477" style="17" customWidth="1"/>
    <col min="7" max="7" width="11.4234234234234" style="18" customWidth="1"/>
    <col min="8" max="8" width="11.4234234234234" style="19" customWidth="1"/>
    <col min="9" max="10" width="11.7477477477477" style="16" customWidth="1"/>
    <col min="11" max="13" width="11.4234234234234" style="17" customWidth="1"/>
    <col min="14" max="14" width="6.54954954954955" style="20" customWidth="1"/>
  </cols>
  <sheetData>
    <row r="1" ht="14.15" spans="1:14">
      <c r="A1" s="14" t="s">
        <v>0</v>
      </c>
      <c r="B1" s="14" t="s">
        <v>34</v>
      </c>
      <c r="C1" s="14" t="s">
        <v>34</v>
      </c>
      <c r="D1" s="14" t="s">
        <v>35</v>
      </c>
      <c r="E1" s="17" t="s">
        <v>35</v>
      </c>
      <c r="F1" s="17" t="s">
        <v>35</v>
      </c>
      <c r="G1" s="17" t="s">
        <v>35</v>
      </c>
      <c r="H1" s="17" t="s">
        <v>35</v>
      </c>
      <c r="I1" s="17" t="s">
        <v>35</v>
      </c>
      <c r="J1" s="17" t="s">
        <v>35</v>
      </c>
      <c r="K1" s="17" t="s">
        <v>35</v>
      </c>
      <c r="L1" s="17" t="s">
        <v>35</v>
      </c>
      <c r="M1" s="17" t="s">
        <v>35</v>
      </c>
      <c r="N1" s="20" t="s">
        <v>3</v>
      </c>
    </row>
    <row r="2" spans="1:14">
      <c r="A2" s="14" t="s">
        <v>4</v>
      </c>
      <c r="B2" s="17">
        <v>5.8</v>
      </c>
      <c r="C2" s="17">
        <v>5</v>
      </c>
      <c r="D2" s="17">
        <v>5.9</v>
      </c>
      <c r="E2" s="17">
        <v>5.8</v>
      </c>
      <c r="F2" s="17">
        <v>5.5</v>
      </c>
      <c r="G2" s="17">
        <v>5.7</v>
      </c>
      <c r="H2" s="17">
        <v>5.3</v>
      </c>
      <c r="I2" s="17">
        <v>5.2</v>
      </c>
      <c r="J2" s="17">
        <v>5.28</v>
      </c>
      <c r="K2" s="17">
        <v>5.08</v>
      </c>
      <c r="L2" s="17">
        <v>5.13</v>
      </c>
      <c r="M2" s="17">
        <v>5.3</v>
      </c>
      <c r="N2" s="20">
        <f t="shared" ref="N2:N31" si="0">AVERAGE(B2:M2)</f>
        <v>5.41583333333333</v>
      </c>
    </row>
    <row r="3" spans="1:14">
      <c r="A3" s="14" t="s">
        <v>5</v>
      </c>
      <c r="B3" s="17">
        <v>9.4</v>
      </c>
      <c r="C3" s="17">
        <v>10.6</v>
      </c>
      <c r="D3" s="17">
        <v>8.7</v>
      </c>
      <c r="E3" s="17">
        <v>11.7</v>
      </c>
      <c r="F3" s="17">
        <v>10.6</v>
      </c>
      <c r="G3" s="17">
        <v>13</v>
      </c>
      <c r="H3" s="17">
        <v>10.9</v>
      </c>
      <c r="I3" s="17">
        <v>10.9</v>
      </c>
      <c r="J3" s="17">
        <v>11.25</v>
      </c>
      <c r="K3" s="17">
        <v>11.19</v>
      </c>
      <c r="L3" s="17">
        <v>11.31</v>
      </c>
      <c r="M3" s="17">
        <v>10.4</v>
      </c>
      <c r="N3" s="20">
        <f t="shared" si="0"/>
        <v>10.8291666666667</v>
      </c>
    </row>
    <row r="4" spans="1:14">
      <c r="A4" s="14" t="s">
        <v>6</v>
      </c>
      <c r="B4" s="17">
        <v>8.4</v>
      </c>
      <c r="C4" s="17">
        <v>7.7</v>
      </c>
      <c r="D4" s="17">
        <v>7.9</v>
      </c>
      <c r="E4" s="17">
        <v>7.6</v>
      </c>
      <c r="F4" s="17">
        <v>7.9</v>
      </c>
      <c r="G4" s="17">
        <v>8</v>
      </c>
      <c r="H4" s="17">
        <v>8.1</v>
      </c>
      <c r="I4" s="17">
        <v>7.6</v>
      </c>
      <c r="J4" s="17">
        <v>7.84</v>
      </c>
      <c r="K4" s="17">
        <v>7.33</v>
      </c>
      <c r="L4" s="17">
        <v>7.46</v>
      </c>
      <c r="M4" s="17">
        <v>8</v>
      </c>
      <c r="N4" s="20">
        <f t="shared" si="0"/>
        <v>7.81916666666667</v>
      </c>
    </row>
    <row r="5" spans="1:14">
      <c r="A5" s="14" t="s">
        <v>7</v>
      </c>
      <c r="B5" s="17">
        <v>8</v>
      </c>
      <c r="C5" s="17">
        <v>8</v>
      </c>
      <c r="D5" s="17">
        <v>7.7</v>
      </c>
      <c r="E5" s="17">
        <v>7.8</v>
      </c>
      <c r="F5" s="17">
        <v>7.7</v>
      </c>
      <c r="G5" s="17">
        <v>7.5</v>
      </c>
      <c r="H5" s="17">
        <v>7.5</v>
      </c>
      <c r="I5" s="17">
        <v>7.3</v>
      </c>
      <c r="J5" s="17">
        <v>7.13</v>
      </c>
      <c r="K5" s="17">
        <v>7.44</v>
      </c>
      <c r="L5" s="17">
        <v>6.94</v>
      </c>
      <c r="M5" s="17">
        <v>7.4</v>
      </c>
      <c r="N5" s="20">
        <f t="shared" si="0"/>
        <v>7.53416666666667</v>
      </c>
    </row>
    <row r="6" spans="1:14">
      <c r="A6" s="14" t="s">
        <v>8</v>
      </c>
      <c r="B6" s="17">
        <v>6.5</v>
      </c>
      <c r="C6" s="17">
        <v>5.8</v>
      </c>
      <c r="D6" s="17">
        <v>6.6</v>
      </c>
      <c r="E6" s="17">
        <v>6.3</v>
      </c>
      <c r="F6" s="17">
        <v>5.9</v>
      </c>
      <c r="G6" s="17">
        <v>6.8</v>
      </c>
      <c r="H6" s="17">
        <v>6.4</v>
      </c>
      <c r="I6" s="17">
        <v>6.4</v>
      </c>
      <c r="J6" s="17">
        <v>6</v>
      </c>
      <c r="K6" s="17">
        <v>5.46</v>
      </c>
      <c r="L6" s="17">
        <v>5.64</v>
      </c>
      <c r="M6" s="17">
        <v>5.7</v>
      </c>
      <c r="N6" s="20">
        <f t="shared" si="0"/>
        <v>6.125</v>
      </c>
    </row>
    <row r="7" spans="1:14">
      <c r="A7" s="14" t="s">
        <v>9</v>
      </c>
      <c r="B7" s="17">
        <v>6.6</v>
      </c>
      <c r="C7" s="17">
        <v>6.4</v>
      </c>
      <c r="D7" s="17">
        <v>6.6</v>
      </c>
      <c r="E7" s="17">
        <v>6.5</v>
      </c>
      <c r="F7" s="17">
        <v>6.5</v>
      </c>
      <c r="G7" s="17">
        <v>6.7</v>
      </c>
      <c r="H7" s="17">
        <v>6.4</v>
      </c>
      <c r="I7" s="17">
        <v>6.7</v>
      </c>
      <c r="J7" s="17">
        <v>6.35</v>
      </c>
      <c r="K7" s="17">
        <v>6.66</v>
      </c>
      <c r="L7" s="17">
        <v>6.39</v>
      </c>
      <c r="M7" s="17">
        <v>6.7</v>
      </c>
      <c r="N7" s="20">
        <f t="shared" si="0"/>
        <v>6.54166666666667</v>
      </c>
    </row>
    <row r="8" spans="1:14">
      <c r="A8" s="14" t="s">
        <v>10</v>
      </c>
      <c r="B8" s="17">
        <v>7.7</v>
      </c>
      <c r="C8" s="17">
        <v>7.8</v>
      </c>
      <c r="D8" s="17">
        <v>7.2</v>
      </c>
      <c r="E8" s="17">
        <v>7.3</v>
      </c>
      <c r="F8" s="17">
        <v>6.7</v>
      </c>
      <c r="G8" s="17">
        <v>7</v>
      </c>
      <c r="H8" s="17">
        <v>7</v>
      </c>
      <c r="I8" s="17">
        <v>6.8</v>
      </c>
      <c r="J8" s="17">
        <v>7.16</v>
      </c>
      <c r="K8" s="17">
        <v>7.16</v>
      </c>
      <c r="L8" s="17">
        <v>7.27</v>
      </c>
      <c r="M8" s="17">
        <v>7.7</v>
      </c>
      <c r="N8" s="20">
        <f t="shared" si="0"/>
        <v>7.2325</v>
      </c>
    </row>
    <row r="9" spans="1:14">
      <c r="A9" s="14" t="s">
        <v>11</v>
      </c>
      <c r="B9" s="17">
        <v>14.5</v>
      </c>
      <c r="C9" s="17">
        <v>13.4</v>
      </c>
      <c r="D9" s="17">
        <v>14.3</v>
      </c>
      <c r="E9" s="17">
        <v>13.5</v>
      </c>
      <c r="F9" s="17">
        <v>13.9</v>
      </c>
      <c r="G9" s="17">
        <v>12.8</v>
      </c>
      <c r="H9" s="17">
        <v>13.6</v>
      </c>
      <c r="I9" s="17">
        <v>13.4</v>
      </c>
      <c r="J9" s="17">
        <v>13.2</v>
      </c>
      <c r="K9" s="17">
        <v>14.76</v>
      </c>
      <c r="L9" s="17">
        <v>13.76</v>
      </c>
      <c r="M9" s="17">
        <v>14.1</v>
      </c>
      <c r="N9" s="20">
        <f t="shared" si="0"/>
        <v>13.7683333333333</v>
      </c>
    </row>
    <row r="10" spans="1:14">
      <c r="A10" s="14" t="s">
        <v>12</v>
      </c>
      <c r="B10" s="17">
        <v>4.8</v>
      </c>
      <c r="C10" s="17">
        <v>4.7</v>
      </c>
      <c r="D10" s="17">
        <v>5.6</v>
      </c>
      <c r="E10" s="17">
        <v>5.4</v>
      </c>
      <c r="F10" s="17">
        <v>4.8</v>
      </c>
      <c r="G10" s="17">
        <v>5.4</v>
      </c>
      <c r="H10" s="17">
        <v>5.3</v>
      </c>
      <c r="I10" s="17">
        <v>5.2</v>
      </c>
      <c r="J10" s="17">
        <v>4.6</v>
      </c>
      <c r="K10" s="17">
        <v>3.85</v>
      </c>
      <c r="L10" s="17">
        <v>5.07</v>
      </c>
      <c r="M10" s="17">
        <v>5.1</v>
      </c>
      <c r="N10" s="20">
        <f t="shared" si="0"/>
        <v>4.985</v>
      </c>
    </row>
    <row r="11" spans="1:14">
      <c r="A11" s="14" t="s">
        <v>13</v>
      </c>
      <c r="B11" s="17">
        <v>6.7</v>
      </c>
      <c r="C11" s="17">
        <v>6.8</v>
      </c>
      <c r="D11" s="17">
        <v>7.6</v>
      </c>
      <c r="E11" s="17">
        <v>8.7</v>
      </c>
      <c r="F11" s="17">
        <v>8.6</v>
      </c>
      <c r="G11" s="17">
        <v>8.8</v>
      </c>
      <c r="H11" s="17">
        <v>7.7</v>
      </c>
      <c r="I11" s="17">
        <v>8.2</v>
      </c>
      <c r="J11" s="17">
        <v>8.25</v>
      </c>
      <c r="K11" s="17">
        <v>8.73</v>
      </c>
      <c r="L11" s="17">
        <v>8.16</v>
      </c>
      <c r="M11" s="17">
        <v>8.9</v>
      </c>
      <c r="N11" s="20">
        <f t="shared" si="0"/>
        <v>8.095</v>
      </c>
    </row>
    <row r="12" spans="1:14">
      <c r="A12" s="14" t="s">
        <v>14</v>
      </c>
      <c r="B12" s="17">
        <v>9.5</v>
      </c>
      <c r="C12" s="17">
        <v>11.2</v>
      </c>
      <c r="D12" s="17">
        <v>11.6</v>
      </c>
      <c r="E12" s="17">
        <v>11.5</v>
      </c>
      <c r="F12" s="17">
        <v>12.1</v>
      </c>
      <c r="G12" s="17">
        <v>11.8</v>
      </c>
      <c r="H12" s="17">
        <v>9.6</v>
      </c>
      <c r="I12" s="17">
        <v>11.5</v>
      </c>
      <c r="J12" s="17">
        <v>13.68</v>
      </c>
      <c r="K12" s="17">
        <v>10.79</v>
      </c>
      <c r="L12" s="17">
        <v>11.05</v>
      </c>
      <c r="M12" s="17">
        <v>19.7</v>
      </c>
      <c r="N12" s="20">
        <f t="shared" si="0"/>
        <v>12.0016666666667</v>
      </c>
    </row>
    <row r="13" spans="1:14">
      <c r="A13" s="14" t="s">
        <v>15</v>
      </c>
      <c r="B13" s="17">
        <v>11.8</v>
      </c>
      <c r="C13" s="17">
        <v>9.9</v>
      </c>
      <c r="D13" s="17">
        <v>11.1</v>
      </c>
      <c r="E13" s="17">
        <v>10.1</v>
      </c>
      <c r="F13" s="17">
        <v>11.1</v>
      </c>
      <c r="G13" s="17">
        <v>12.5</v>
      </c>
      <c r="H13" s="17">
        <v>11.6</v>
      </c>
      <c r="I13" s="17">
        <v>10.6</v>
      </c>
      <c r="J13" s="17">
        <v>10.14</v>
      </c>
      <c r="K13" s="17">
        <v>9.71</v>
      </c>
      <c r="L13" s="17">
        <v>11.82</v>
      </c>
      <c r="M13" s="17">
        <v>10.2</v>
      </c>
      <c r="N13" s="20">
        <f t="shared" si="0"/>
        <v>10.8808333333333</v>
      </c>
    </row>
    <row r="14" spans="1:14">
      <c r="A14" s="14" t="s">
        <v>16</v>
      </c>
      <c r="B14" s="17">
        <v>13.3</v>
      </c>
      <c r="C14" s="17">
        <v>10.9</v>
      </c>
      <c r="D14" s="17">
        <v>12.4</v>
      </c>
      <c r="E14" s="17">
        <v>15.1</v>
      </c>
      <c r="F14" s="17">
        <v>12.4</v>
      </c>
      <c r="G14" s="17">
        <v>12</v>
      </c>
      <c r="H14" s="17">
        <v>12.5</v>
      </c>
      <c r="I14" s="17">
        <v>12.7</v>
      </c>
      <c r="J14" s="17">
        <v>12.01</v>
      </c>
      <c r="K14" s="17">
        <v>10.98</v>
      </c>
      <c r="L14" s="17">
        <v>11.13</v>
      </c>
      <c r="M14" s="17">
        <v>12.7</v>
      </c>
      <c r="N14" s="20">
        <f t="shared" si="0"/>
        <v>12.3433333333333</v>
      </c>
    </row>
    <row r="15" spans="1:14">
      <c r="A15" s="14" t="s">
        <v>17</v>
      </c>
      <c r="B15" s="17">
        <v>6.6</v>
      </c>
      <c r="C15" s="17">
        <v>6.2</v>
      </c>
      <c r="D15" s="17">
        <v>6.5</v>
      </c>
      <c r="E15" s="17">
        <v>7</v>
      </c>
      <c r="F15" s="17">
        <v>7.1</v>
      </c>
      <c r="G15" s="17">
        <v>8.1</v>
      </c>
      <c r="H15" s="17">
        <v>8.4</v>
      </c>
      <c r="I15" s="17">
        <v>8.2</v>
      </c>
      <c r="J15" s="17">
        <v>7.95</v>
      </c>
      <c r="K15" s="17">
        <v>7.52</v>
      </c>
      <c r="L15" s="17">
        <v>8.39</v>
      </c>
      <c r="M15" s="17">
        <v>8.2</v>
      </c>
      <c r="N15" s="20">
        <f t="shared" si="0"/>
        <v>7.51333333333333</v>
      </c>
    </row>
    <row r="16" spans="1:14">
      <c r="A16" s="14" t="s">
        <v>18</v>
      </c>
      <c r="B16" s="17">
        <v>5.9</v>
      </c>
      <c r="C16" s="17">
        <v>5.8</v>
      </c>
      <c r="D16" s="17">
        <v>6.4</v>
      </c>
      <c r="E16" s="17">
        <v>5.9</v>
      </c>
      <c r="F16" s="17">
        <v>6.6</v>
      </c>
      <c r="G16" s="17">
        <v>6</v>
      </c>
      <c r="H16" s="17">
        <v>3.8</v>
      </c>
      <c r="I16" s="17">
        <v>5.8</v>
      </c>
      <c r="J16" s="17">
        <v>10.85</v>
      </c>
      <c r="K16" s="17">
        <v>7.28</v>
      </c>
      <c r="L16" s="17">
        <v>7.8</v>
      </c>
      <c r="M16" s="17">
        <v>8.2</v>
      </c>
      <c r="N16" s="20">
        <f t="shared" si="0"/>
        <v>6.69416666666667</v>
      </c>
    </row>
    <row r="17" spans="1:14">
      <c r="A17" s="14" t="s">
        <v>19</v>
      </c>
      <c r="B17" s="17">
        <v>2.9</v>
      </c>
      <c r="C17" s="17">
        <v>2.6</v>
      </c>
      <c r="D17" s="17">
        <v>2.8</v>
      </c>
      <c r="E17" s="17">
        <v>2.7</v>
      </c>
      <c r="F17" s="17">
        <v>2.7</v>
      </c>
      <c r="G17" s="17">
        <v>2.6</v>
      </c>
      <c r="H17" s="17">
        <v>2.7</v>
      </c>
      <c r="I17" s="17">
        <v>2.7</v>
      </c>
      <c r="J17" s="17">
        <v>2.75</v>
      </c>
      <c r="K17" s="17">
        <v>2.49</v>
      </c>
      <c r="L17" s="17">
        <v>2.81</v>
      </c>
      <c r="M17" s="17">
        <v>2.8</v>
      </c>
      <c r="N17" s="20">
        <f t="shared" si="0"/>
        <v>2.7125</v>
      </c>
    </row>
    <row r="18" spans="1:14">
      <c r="A18" s="14" t="s">
        <v>20</v>
      </c>
      <c r="B18" s="17">
        <v>12.1</v>
      </c>
      <c r="C18" s="17">
        <v>12.1</v>
      </c>
      <c r="D18" s="17">
        <v>12.2</v>
      </c>
      <c r="E18" s="17">
        <v>11.6</v>
      </c>
      <c r="F18" s="17">
        <v>11</v>
      </c>
      <c r="G18" s="17">
        <v>11</v>
      </c>
      <c r="H18" s="17">
        <v>9.2</v>
      </c>
      <c r="I18" s="17">
        <v>8.4</v>
      </c>
      <c r="J18" s="17">
        <v>9.42</v>
      </c>
      <c r="K18" s="17">
        <v>8.61</v>
      </c>
      <c r="L18" s="17">
        <v>10.42</v>
      </c>
      <c r="M18" s="17">
        <v>10.6</v>
      </c>
      <c r="N18" s="20">
        <f t="shared" si="0"/>
        <v>10.5541666666667</v>
      </c>
    </row>
    <row r="19" spans="1:14">
      <c r="A19" s="14" t="s">
        <v>21</v>
      </c>
      <c r="B19" s="17">
        <v>8.3</v>
      </c>
      <c r="C19" s="17">
        <v>10.9</v>
      </c>
      <c r="D19" s="17">
        <v>9.9</v>
      </c>
      <c r="E19" s="17">
        <v>14.2</v>
      </c>
      <c r="F19" s="17">
        <v>13.5</v>
      </c>
      <c r="G19" s="17">
        <v>8.7</v>
      </c>
      <c r="H19" s="17">
        <v>7.8</v>
      </c>
      <c r="I19" s="17">
        <v>14.5</v>
      </c>
      <c r="J19" s="17">
        <v>14.18</v>
      </c>
      <c r="K19" s="17">
        <v>10.58</v>
      </c>
      <c r="L19" s="17">
        <v>12.27</v>
      </c>
      <c r="M19" s="17">
        <v>13.4</v>
      </c>
      <c r="N19" s="20">
        <f t="shared" si="0"/>
        <v>11.5191666666667</v>
      </c>
    </row>
    <row r="20" spans="1:14">
      <c r="A20" s="14" t="s">
        <v>22</v>
      </c>
      <c r="B20" s="17">
        <v>9.4</v>
      </c>
      <c r="C20" s="17">
        <v>7.1</v>
      </c>
      <c r="D20" s="17">
        <v>8.9</v>
      </c>
      <c r="E20" s="17">
        <v>8.6</v>
      </c>
      <c r="F20" s="17">
        <v>7.9</v>
      </c>
      <c r="G20" s="17">
        <v>8.8</v>
      </c>
      <c r="H20" s="17">
        <v>8</v>
      </c>
      <c r="I20" s="17">
        <v>8.9</v>
      </c>
      <c r="J20" s="17">
        <v>8.4</v>
      </c>
      <c r="K20" s="17">
        <v>8.09</v>
      </c>
      <c r="L20" s="17">
        <v>8.56</v>
      </c>
      <c r="M20" s="17">
        <v>8.8</v>
      </c>
      <c r="N20" s="20">
        <f t="shared" si="0"/>
        <v>8.45416666666667</v>
      </c>
    </row>
    <row r="21" spans="1:14">
      <c r="A21" s="14" t="s">
        <v>23</v>
      </c>
      <c r="B21" s="17">
        <v>8.1</v>
      </c>
      <c r="C21" s="17">
        <v>7.5</v>
      </c>
      <c r="D21" s="17">
        <v>8.5</v>
      </c>
      <c r="E21" s="17">
        <v>8.6</v>
      </c>
      <c r="F21" s="17">
        <v>7.4</v>
      </c>
      <c r="G21" s="17">
        <v>6.6</v>
      </c>
      <c r="H21" s="17">
        <v>6.7</v>
      </c>
      <c r="I21" s="17">
        <v>7.2</v>
      </c>
      <c r="J21" s="17">
        <v>6.75</v>
      </c>
      <c r="K21" s="17">
        <v>7.23</v>
      </c>
      <c r="L21" s="17">
        <v>6.67</v>
      </c>
      <c r="M21" s="17">
        <v>7.4</v>
      </c>
      <c r="N21" s="20">
        <f t="shared" si="0"/>
        <v>7.3875</v>
      </c>
    </row>
    <row r="22" spans="1:14">
      <c r="A22" s="14" t="s">
        <v>24</v>
      </c>
      <c r="B22" s="17">
        <v>11.6</v>
      </c>
      <c r="C22" s="17">
        <v>11.5</v>
      </c>
      <c r="D22" s="17">
        <v>10.7</v>
      </c>
      <c r="E22" s="17">
        <v>13.7</v>
      </c>
      <c r="F22" s="17">
        <v>11</v>
      </c>
      <c r="G22" s="17">
        <v>11</v>
      </c>
      <c r="H22" s="17">
        <v>11.6</v>
      </c>
      <c r="I22" s="17">
        <v>9.1</v>
      </c>
      <c r="J22" s="17">
        <v>11.55</v>
      </c>
      <c r="K22" s="17">
        <v>10.21</v>
      </c>
      <c r="L22" s="17">
        <v>10.94</v>
      </c>
      <c r="M22" s="17">
        <v>11</v>
      </c>
      <c r="N22" s="20">
        <f t="shared" si="0"/>
        <v>11.1583333333333</v>
      </c>
    </row>
    <row r="23" spans="1:14">
      <c r="A23" s="14" t="s">
        <v>25</v>
      </c>
      <c r="B23" s="17">
        <v>8.4</v>
      </c>
      <c r="C23" s="17">
        <v>7.2</v>
      </c>
      <c r="D23" s="17">
        <v>9.9</v>
      </c>
      <c r="E23" s="17">
        <v>9</v>
      </c>
      <c r="F23" s="17">
        <v>8.6</v>
      </c>
      <c r="G23" s="17">
        <v>7.9</v>
      </c>
      <c r="H23" s="17">
        <v>7.5</v>
      </c>
      <c r="I23" s="17">
        <v>8.9</v>
      </c>
      <c r="J23" s="17">
        <v>10.16</v>
      </c>
      <c r="K23" s="17">
        <v>7.58</v>
      </c>
      <c r="L23" s="17">
        <v>8.99</v>
      </c>
      <c r="M23" s="17">
        <v>9.2</v>
      </c>
      <c r="N23" s="20">
        <f t="shared" si="0"/>
        <v>8.61083333333333</v>
      </c>
    </row>
    <row r="24" spans="1:14">
      <c r="A24" s="14" t="s">
        <v>26</v>
      </c>
      <c r="B24" s="17">
        <v>11</v>
      </c>
      <c r="C24" s="17">
        <v>12.8</v>
      </c>
      <c r="D24" s="17">
        <v>12.6</v>
      </c>
      <c r="E24" s="17">
        <v>14.7</v>
      </c>
      <c r="F24" s="17">
        <v>10.6</v>
      </c>
      <c r="G24" s="17">
        <v>17.2</v>
      </c>
      <c r="H24" s="17" t="s">
        <v>36</v>
      </c>
      <c r="I24" s="17">
        <v>10.5</v>
      </c>
      <c r="J24" s="17">
        <v>13.2</v>
      </c>
      <c r="K24" s="17">
        <v>11.081</v>
      </c>
      <c r="L24" s="17">
        <v>10.6</v>
      </c>
      <c r="M24" s="17">
        <v>13.7</v>
      </c>
      <c r="N24" s="20">
        <f t="shared" si="0"/>
        <v>12.5437272727273</v>
      </c>
    </row>
    <row r="25" spans="1:14">
      <c r="A25" s="14" t="s">
        <v>27</v>
      </c>
      <c r="B25" s="17">
        <v>12.6</v>
      </c>
      <c r="C25" s="17">
        <v>10.4</v>
      </c>
      <c r="D25" s="17">
        <v>11.2</v>
      </c>
      <c r="E25" s="17">
        <v>11.1</v>
      </c>
      <c r="F25" s="17">
        <v>11.5</v>
      </c>
      <c r="G25" s="17">
        <v>12.1</v>
      </c>
      <c r="H25" s="17">
        <v>10.6</v>
      </c>
      <c r="I25" s="17">
        <v>11.3</v>
      </c>
      <c r="J25" s="17">
        <v>11.36</v>
      </c>
      <c r="K25" s="17">
        <v>11.04</v>
      </c>
      <c r="L25" s="17">
        <v>11.57</v>
      </c>
      <c r="M25" s="17">
        <v>11.7</v>
      </c>
      <c r="N25" s="20">
        <f t="shared" si="0"/>
        <v>11.3725</v>
      </c>
    </row>
    <row r="26" spans="1:14">
      <c r="A26" s="14" t="s">
        <v>28</v>
      </c>
      <c r="B26" s="17">
        <v>6.4</v>
      </c>
      <c r="C26" s="17">
        <v>5.8</v>
      </c>
      <c r="D26" s="17">
        <v>6.6</v>
      </c>
      <c r="E26" s="17">
        <v>5.8</v>
      </c>
      <c r="F26" s="17">
        <v>5.7</v>
      </c>
      <c r="G26" s="17">
        <v>6.4</v>
      </c>
      <c r="H26" s="17">
        <v>6.7</v>
      </c>
      <c r="I26" s="17">
        <v>5.4</v>
      </c>
      <c r="J26" s="17">
        <v>5.63</v>
      </c>
      <c r="K26" s="17">
        <v>5.72</v>
      </c>
      <c r="L26" s="17">
        <v>6.03</v>
      </c>
      <c r="M26" s="17">
        <v>7.5</v>
      </c>
      <c r="N26" s="20">
        <f t="shared" si="0"/>
        <v>6.14</v>
      </c>
    </row>
    <row r="27" spans="1:14">
      <c r="A27" s="14" t="s">
        <v>29</v>
      </c>
      <c r="B27" s="17">
        <v>2.4</v>
      </c>
      <c r="C27" s="17">
        <v>2.7</v>
      </c>
      <c r="D27" s="17">
        <v>2.6</v>
      </c>
      <c r="E27" s="17">
        <v>2.3</v>
      </c>
      <c r="F27" s="17">
        <v>2</v>
      </c>
      <c r="G27" s="17">
        <v>2</v>
      </c>
      <c r="H27" s="17">
        <v>2.3</v>
      </c>
      <c r="I27" s="17">
        <v>2.4</v>
      </c>
      <c r="J27" s="17">
        <v>2.31</v>
      </c>
      <c r="K27" s="17">
        <v>2.15</v>
      </c>
      <c r="L27" s="17">
        <v>2.07</v>
      </c>
      <c r="M27" s="17">
        <v>3</v>
      </c>
      <c r="N27" s="20">
        <f t="shared" si="0"/>
        <v>2.3525</v>
      </c>
    </row>
    <row r="28" spans="1:14">
      <c r="A28" s="14" t="s">
        <v>30</v>
      </c>
      <c r="B28" s="17">
        <v>5</v>
      </c>
      <c r="C28" s="17">
        <v>3.6</v>
      </c>
      <c r="D28" s="17">
        <v>4.9</v>
      </c>
      <c r="E28" s="17">
        <v>5</v>
      </c>
      <c r="F28" s="17">
        <v>5.1</v>
      </c>
      <c r="G28" s="17">
        <v>5.2</v>
      </c>
      <c r="H28" s="17">
        <v>5</v>
      </c>
      <c r="I28" s="17">
        <v>4.2</v>
      </c>
      <c r="J28" s="17">
        <v>5.33</v>
      </c>
      <c r="K28" s="17">
        <v>5.14</v>
      </c>
      <c r="L28" s="17">
        <v>5.64</v>
      </c>
      <c r="M28" s="17">
        <v>5.7</v>
      </c>
      <c r="N28" s="20">
        <f t="shared" si="0"/>
        <v>4.98416666666667</v>
      </c>
    </row>
    <row r="29" spans="1:14">
      <c r="A29" s="14" t="s">
        <v>31</v>
      </c>
      <c r="B29" s="17">
        <v>5.6</v>
      </c>
      <c r="C29" s="17">
        <v>5.1</v>
      </c>
      <c r="D29" s="17">
        <v>4.6</v>
      </c>
      <c r="E29" s="17">
        <v>4.7</v>
      </c>
      <c r="F29" s="17">
        <v>4.7</v>
      </c>
      <c r="G29" s="17">
        <v>4.9</v>
      </c>
      <c r="H29" s="17">
        <v>4.8</v>
      </c>
      <c r="I29" s="17">
        <v>4.8</v>
      </c>
      <c r="J29" s="17">
        <v>5.02</v>
      </c>
      <c r="K29" s="17">
        <v>4.99</v>
      </c>
      <c r="L29" s="17">
        <v>5.09</v>
      </c>
      <c r="M29" s="17">
        <v>5.4</v>
      </c>
      <c r="N29" s="20">
        <f t="shared" si="0"/>
        <v>4.975</v>
      </c>
    </row>
    <row r="30" spans="1:14">
      <c r="A30" s="14" t="s">
        <v>32</v>
      </c>
      <c r="B30" s="17">
        <v>6.7</v>
      </c>
      <c r="C30" s="17">
        <v>6.8</v>
      </c>
      <c r="D30" s="17">
        <v>7.6</v>
      </c>
      <c r="E30" s="17">
        <v>7.6</v>
      </c>
      <c r="F30" s="17">
        <v>7.8</v>
      </c>
      <c r="G30" s="17">
        <v>7.8</v>
      </c>
      <c r="H30" s="17">
        <v>8.2</v>
      </c>
      <c r="I30" s="17">
        <v>8.6</v>
      </c>
      <c r="J30" s="17">
        <v>8.88</v>
      </c>
      <c r="K30" s="17">
        <v>8.4</v>
      </c>
      <c r="L30" s="17">
        <v>8.01</v>
      </c>
      <c r="M30" s="17">
        <v>8.5</v>
      </c>
      <c r="N30" s="20">
        <f t="shared" si="0"/>
        <v>7.9075</v>
      </c>
    </row>
    <row r="31" spans="1:14">
      <c r="A31" s="14" t="s">
        <v>33</v>
      </c>
      <c r="B31" s="17">
        <v>5.4</v>
      </c>
      <c r="C31" s="17">
        <v>5.3</v>
      </c>
      <c r="D31" s="17">
        <v>5.6</v>
      </c>
      <c r="E31" s="17">
        <v>4.6</v>
      </c>
      <c r="F31" s="17">
        <v>5.1</v>
      </c>
      <c r="G31" s="17">
        <v>4.9</v>
      </c>
      <c r="H31" s="17">
        <v>4.5</v>
      </c>
      <c r="I31" s="17">
        <v>4.7</v>
      </c>
      <c r="J31" s="17">
        <v>5.15</v>
      </c>
      <c r="K31" s="17">
        <v>5.19</v>
      </c>
      <c r="L31" s="17">
        <v>5.49</v>
      </c>
      <c r="M31" s="17">
        <v>5.6</v>
      </c>
      <c r="N31" s="20">
        <f t="shared" si="0"/>
        <v>5.1275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31"/>
  <sheetViews>
    <sheetView topLeftCell="A10" workbookViewId="0">
      <selection activeCell="B2" sqref="B2:M31"/>
    </sheetView>
  </sheetViews>
  <sheetFormatPr defaultColWidth="9" defaultRowHeight="14.1"/>
  <cols>
    <col min="1" max="1" width="16.3063063063063" style="13" customWidth="1"/>
    <col min="2" max="2" width="11.7477477477477" style="13" customWidth="1"/>
    <col min="3" max="3" width="11.7477477477477" style="14" customWidth="1"/>
    <col min="4" max="4" width="11.4234234234234" style="15" customWidth="1"/>
    <col min="5" max="5" width="11.7477477477477" style="21" customWidth="1"/>
    <col min="6" max="6" width="11.7477477477477" style="22" customWidth="1"/>
    <col min="7" max="7" width="11.4234234234234" style="23" customWidth="1"/>
    <col min="8" max="8" width="11.4234234234234" style="24" customWidth="1"/>
    <col min="9" max="9" width="11.7477477477477" style="21" customWidth="1"/>
    <col min="10" max="10" width="11.4234234234234" style="21" customWidth="1"/>
    <col min="11" max="13" width="11.4234234234234" style="22" customWidth="1"/>
    <col min="14" max="14" width="7.54954954954955" style="20" customWidth="1"/>
  </cols>
  <sheetData>
    <row r="1" ht="14.15" spans="1:14">
      <c r="A1" s="14" t="s">
        <v>0</v>
      </c>
      <c r="B1" s="14" t="s">
        <v>1</v>
      </c>
      <c r="C1" s="14" t="s">
        <v>1</v>
      </c>
      <c r="D1" s="14" t="s">
        <v>2</v>
      </c>
      <c r="E1" s="22" t="s">
        <v>2</v>
      </c>
      <c r="F1" s="22" t="s">
        <v>2</v>
      </c>
      <c r="G1" s="22" t="s">
        <v>2</v>
      </c>
      <c r="H1" s="22" t="s">
        <v>2</v>
      </c>
      <c r="I1" s="22" t="s">
        <v>2</v>
      </c>
      <c r="J1" s="22" t="s">
        <v>2</v>
      </c>
      <c r="K1" s="22" t="s">
        <v>2</v>
      </c>
      <c r="L1" s="22" t="s">
        <v>2</v>
      </c>
      <c r="M1" s="22" t="s">
        <v>2</v>
      </c>
      <c r="N1" s="20" t="s">
        <v>3</v>
      </c>
    </row>
    <row r="2" spans="1:14">
      <c r="A2" s="14" t="s">
        <v>4</v>
      </c>
      <c r="B2" s="22">
        <v>72.9</v>
      </c>
      <c r="C2" s="22">
        <v>92.96</v>
      </c>
      <c r="D2" s="22">
        <v>95.34</v>
      </c>
      <c r="E2" s="22">
        <v>77.64</v>
      </c>
      <c r="F2" s="22">
        <v>73.22</v>
      </c>
      <c r="G2" s="22">
        <v>74.36</v>
      </c>
      <c r="H2" s="22">
        <v>72</v>
      </c>
      <c r="I2" s="22">
        <v>66.64</v>
      </c>
      <c r="J2" s="22">
        <v>81.33</v>
      </c>
      <c r="K2" s="22">
        <v>82.23</v>
      </c>
      <c r="L2" s="22">
        <v>94.61</v>
      </c>
      <c r="M2" s="22">
        <v>93.07</v>
      </c>
      <c r="N2" s="20">
        <f t="shared" ref="N2:N31" si="0">AVERAGE(B2:M2)</f>
        <v>81.3583333333333</v>
      </c>
    </row>
    <row r="3" spans="1:14">
      <c r="A3" s="14" t="s">
        <v>5</v>
      </c>
      <c r="B3" s="22">
        <v>91.31</v>
      </c>
      <c r="C3" s="22">
        <v>93.22</v>
      </c>
      <c r="D3" s="22">
        <v>98.12</v>
      </c>
      <c r="E3" s="22">
        <v>96.14</v>
      </c>
      <c r="F3" s="22">
        <v>95</v>
      </c>
      <c r="G3" s="22">
        <v>99.37</v>
      </c>
      <c r="H3" s="22">
        <v>99.03</v>
      </c>
      <c r="I3" s="22">
        <v>98.78</v>
      </c>
      <c r="J3" s="22">
        <v>98.85</v>
      </c>
      <c r="K3" s="22">
        <v>97.16</v>
      </c>
      <c r="L3" s="22">
        <v>99.82</v>
      </c>
      <c r="M3" s="22">
        <v>98.53</v>
      </c>
      <c r="N3" s="20">
        <f t="shared" si="0"/>
        <v>97.1108333333333</v>
      </c>
    </row>
    <row r="4" spans="1:14">
      <c r="A4" s="14" t="s">
        <v>6</v>
      </c>
      <c r="B4" s="22">
        <v>93.23</v>
      </c>
      <c r="C4" s="22">
        <v>103.75</v>
      </c>
      <c r="D4" s="22">
        <v>95.81</v>
      </c>
      <c r="E4" s="22">
        <v>103.03</v>
      </c>
      <c r="F4" s="22">
        <v>99.68</v>
      </c>
      <c r="G4" s="22">
        <v>105.57</v>
      </c>
      <c r="H4" s="22">
        <v>110.39</v>
      </c>
      <c r="I4" s="22">
        <v>109.61</v>
      </c>
      <c r="J4" s="22">
        <v>112.03</v>
      </c>
      <c r="K4" s="22">
        <v>104.42</v>
      </c>
      <c r="L4" s="22">
        <v>114.87</v>
      </c>
      <c r="M4" s="22">
        <v>111.03</v>
      </c>
      <c r="N4" s="20">
        <f t="shared" si="0"/>
        <v>105.285</v>
      </c>
    </row>
    <row r="5" spans="1:14">
      <c r="A5" s="14" t="s">
        <v>7</v>
      </c>
      <c r="B5" s="22">
        <v>89.71</v>
      </c>
      <c r="C5" s="22">
        <v>93.71</v>
      </c>
      <c r="D5" s="22">
        <v>93.82</v>
      </c>
      <c r="E5" s="22">
        <v>94.11</v>
      </c>
      <c r="F5" s="22">
        <v>94.73</v>
      </c>
      <c r="G5" s="22">
        <v>96.93</v>
      </c>
      <c r="H5" s="22">
        <v>96.16</v>
      </c>
      <c r="I5" s="22">
        <v>95.28</v>
      </c>
      <c r="J5" s="22">
        <v>96.83</v>
      </c>
      <c r="K5" s="22">
        <v>93.15</v>
      </c>
      <c r="L5" s="22">
        <v>101.52</v>
      </c>
      <c r="M5" s="22">
        <v>101.48</v>
      </c>
      <c r="N5" s="20">
        <f t="shared" si="0"/>
        <v>95.6191666666667</v>
      </c>
    </row>
    <row r="6" spans="1:14">
      <c r="A6" s="14" t="s">
        <v>8</v>
      </c>
      <c r="B6" s="22">
        <v>88.63</v>
      </c>
      <c r="C6" s="22">
        <v>112.41</v>
      </c>
      <c r="D6" s="22">
        <v>106.05</v>
      </c>
      <c r="E6" s="22">
        <v>108.14</v>
      </c>
      <c r="F6" s="22">
        <v>101.6</v>
      </c>
      <c r="G6" s="22">
        <v>108.42</v>
      </c>
      <c r="H6" s="22">
        <v>111.24</v>
      </c>
      <c r="I6" s="22">
        <v>106.39</v>
      </c>
      <c r="J6" s="22">
        <v>112.54</v>
      </c>
      <c r="K6" s="22">
        <v>101.5</v>
      </c>
      <c r="L6" s="22">
        <v>119.79</v>
      </c>
      <c r="M6" s="22">
        <v>118.46</v>
      </c>
      <c r="N6" s="20">
        <f t="shared" si="0"/>
        <v>107.930833333333</v>
      </c>
    </row>
    <row r="7" spans="1:14">
      <c r="A7" s="14" t="s">
        <v>9</v>
      </c>
      <c r="B7" s="22">
        <v>69.61</v>
      </c>
      <c r="C7" s="22">
        <v>78.32</v>
      </c>
      <c r="D7" s="22">
        <v>79.29</v>
      </c>
      <c r="E7" s="22">
        <v>72.63</v>
      </c>
      <c r="F7" s="22">
        <v>71.02</v>
      </c>
      <c r="G7" s="22">
        <v>74.8</v>
      </c>
      <c r="H7" s="22">
        <v>71.93</v>
      </c>
      <c r="I7" s="22">
        <v>72.27</v>
      </c>
      <c r="J7" s="22">
        <v>82.05</v>
      </c>
      <c r="K7" s="22">
        <v>69.44</v>
      </c>
      <c r="L7" s="22">
        <v>90.58</v>
      </c>
      <c r="M7" s="22">
        <v>82.68</v>
      </c>
      <c r="N7" s="20">
        <f t="shared" si="0"/>
        <v>76.2183333333333</v>
      </c>
    </row>
    <row r="8" spans="1:14">
      <c r="A8" s="14" t="s">
        <v>10</v>
      </c>
      <c r="B8" s="22">
        <v>102.31</v>
      </c>
      <c r="C8" s="22">
        <v>126.01</v>
      </c>
      <c r="D8" s="22">
        <v>102.74</v>
      </c>
      <c r="E8" s="22">
        <v>113.39</v>
      </c>
      <c r="F8" s="22">
        <v>106.88</v>
      </c>
      <c r="G8" s="22">
        <v>107.56</v>
      </c>
      <c r="H8" s="22">
        <v>127.74</v>
      </c>
      <c r="I8" s="22">
        <v>115.75</v>
      </c>
      <c r="J8" s="22">
        <v>113.11</v>
      </c>
      <c r="K8" s="22">
        <v>110.43</v>
      </c>
      <c r="L8" s="22">
        <v>121.22</v>
      </c>
      <c r="M8" s="22">
        <v>124.52</v>
      </c>
      <c r="N8" s="20">
        <f t="shared" si="0"/>
        <v>114.305</v>
      </c>
    </row>
    <row r="9" spans="1:14">
      <c r="A9" s="14" t="s">
        <v>11</v>
      </c>
      <c r="B9" s="22">
        <v>94.6</v>
      </c>
      <c r="C9" s="22">
        <v>106.43</v>
      </c>
      <c r="D9" s="22">
        <v>114.44</v>
      </c>
      <c r="E9" s="22">
        <v>116.17</v>
      </c>
      <c r="F9" s="22">
        <v>104.92</v>
      </c>
      <c r="G9" s="22">
        <v>119.5</v>
      </c>
      <c r="H9" s="22">
        <v>122.02</v>
      </c>
      <c r="I9" s="22">
        <v>129.35</v>
      </c>
      <c r="J9" s="22">
        <v>124.83</v>
      </c>
      <c r="K9" s="22">
        <v>102.82</v>
      </c>
      <c r="L9" s="22">
        <v>142.5</v>
      </c>
      <c r="M9" s="22">
        <v>134.11</v>
      </c>
      <c r="N9" s="20">
        <f t="shared" si="0"/>
        <v>117.640833333333</v>
      </c>
    </row>
    <row r="10" spans="1:14">
      <c r="A10" s="14" t="s">
        <v>12</v>
      </c>
      <c r="B10" s="22">
        <v>84.15</v>
      </c>
      <c r="C10" s="22">
        <v>99.18</v>
      </c>
      <c r="D10" s="22">
        <v>98.25</v>
      </c>
      <c r="E10" s="22">
        <v>110.57</v>
      </c>
      <c r="F10" s="22">
        <v>101.2</v>
      </c>
      <c r="G10" s="22">
        <v>103.9</v>
      </c>
      <c r="H10" s="22">
        <v>110.32</v>
      </c>
      <c r="I10" s="22">
        <v>104.7</v>
      </c>
      <c r="J10" s="22">
        <v>106.95</v>
      </c>
      <c r="K10" s="22">
        <v>90.69</v>
      </c>
      <c r="L10" s="22">
        <v>107.62</v>
      </c>
      <c r="M10" s="22">
        <v>113.73</v>
      </c>
      <c r="N10" s="20">
        <f t="shared" si="0"/>
        <v>102.605</v>
      </c>
    </row>
    <row r="11" spans="1:14">
      <c r="A11" s="14" t="s">
        <v>13</v>
      </c>
      <c r="B11" s="22">
        <v>87.31</v>
      </c>
      <c r="C11" s="22">
        <v>98.25</v>
      </c>
      <c r="D11" s="22">
        <v>91.22</v>
      </c>
      <c r="E11" s="22">
        <v>92.52</v>
      </c>
      <c r="F11" s="22">
        <v>76.99</v>
      </c>
      <c r="G11" s="22">
        <v>80.44</v>
      </c>
      <c r="H11" s="22">
        <v>101.43</v>
      </c>
      <c r="I11" s="22">
        <v>67.67</v>
      </c>
      <c r="J11" s="22">
        <v>82.59</v>
      </c>
      <c r="K11" s="22">
        <v>73.62</v>
      </c>
      <c r="L11" s="22">
        <v>93.85</v>
      </c>
      <c r="M11" s="22">
        <v>96.99</v>
      </c>
      <c r="N11" s="20">
        <f t="shared" si="0"/>
        <v>86.9066666666667</v>
      </c>
    </row>
    <row r="12" spans="1:14">
      <c r="A12" s="14" t="s">
        <v>14</v>
      </c>
      <c r="B12" s="22">
        <v>91.97</v>
      </c>
      <c r="C12" s="22">
        <v>81.98</v>
      </c>
      <c r="D12" s="22">
        <v>90.18</v>
      </c>
      <c r="E12" s="22">
        <v>93.41</v>
      </c>
      <c r="F12" s="22">
        <v>83.01</v>
      </c>
      <c r="G12" s="22">
        <v>84.81</v>
      </c>
      <c r="H12" s="22">
        <v>87.81</v>
      </c>
      <c r="I12" s="22">
        <v>86.45</v>
      </c>
      <c r="J12" s="22">
        <v>71.93</v>
      </c>
      <c r="K12" s="22">
        <v>73.91</v>
      </c>
      <c r="L12" s="22">
        <v>79.41</v>
      </c>
      <c r="M12" s="22">
        <v>94.93</v>
      </c>
      <c r="N12" s="20">
        <f t="shared" si="0"/>
        <v>84.9833333333333</v>
      </c>
    </row>
    <row r="13" spans="1:14">
      <c r="A13" s="14" t="s">
        <v>15</v>
      </c>
      <c r="B13" s="22">
        <v>98.01</v>
      </c>
      <c r="C13" s="22">
        <v>92.02</v>
      </c>
      <c r="D13" s="22">
        <v>78.46</v>
      </c>
      <c r="E13" s="22">
        <v>90.78</v>
      </c>
      <c r="F13" s="22">
        <v>84.16</v>
      </c>
      <c r="G13" s="22">
        <v>100.29</v>
      </c>
      <c r="H13" s="22">
        <v>98.01</v>
      </c>
      <c r="I13" s="22">
        <v>73.91</v>
      </c>
      <c r="J13" s="22">
        <v>85.98</v>
      </c>
      <c r="K13" s="22">
        <v>71.92</v>
      </c>
      <c r="L13" s="22">
        <v>88.24</v>
      </c>
      <c r="M13" s="22">
        <v>102.28</v>
      </c>
      <c r="N13" s="20">
        <f t="shared" si="0"/>
        <v>88.6716666666667</v>
      </c>
    </row>
    <row r="14" spans="1:14">
      <c r="A14" s="14" t="s">
        <v>16</v>
      </c>
      <c r="B14" s="22">
        <v>69.14</v>
      </c>
      <c r="C14" s="22">
        <v>89.22</v>
      </c>
      <c r="D14" s="22">
        <v>94.22</v>
      </c>
      <c r="E14" s="22">
        <v>91.45</v>
      </c>
      <c r="F14" s="22">
        <v>96.71</v>
      </c>
      <c r="G14" s="22">
        <v>96.29</v>
      </c>
      <c r="H14" s="22">
        <v>68.96</v>
      </c>
      <c r="I14" s="22">
        <v>65.43</v>
      </c>
      <c r="J14" s="22">
        <v>85.35</v>
      </c>
      <c r="K14" s="22">
        <v>92.03</v>
      </c>
      <c r="L14" s="22">
        <v>103.96</v>
      </c>
      <c r="M14" s="22">
        <v>107.91</v>
      </c>
      <c r="N14" s="20">
        <f t="shared" si="0"/>
        <v>88.3891666666667</v>
      </c>
    </row>
    <row r="15" spans="1:14">
      <c r="A15" s="14" t="s">
        <v>17</v>
      </c>
      <c r="B15" s="22">
        <v>100.16</v>
      </c>
      <c r="C15" s="22">
        <v>114.34</v>
      </c>
      <c r="D15" s="22">
        <v>100.1</v>
      </c>
      <c r="E15" s="22">
        <v>87.9</v>
      </c>
      <c r="F15" s="22">
        <v>92.87</v>
      </c>
      <c r="G15" s="22">
        <v>94.14</v>
      </c>
      <c r="H15" s="22">
        <v>94.48</v>
      </c>
      <c r="I15" s="22">
        <v>99.92</v>
      </c>
      <c r="J15" s="22">
        <v>90.73</v>
      </c>
      <c r="K15" s="22">
        <v>97.03</v>
      </c>
      <c r="L15" s="22">
        <v>103.55</v>
      </c>
      <c r="M15" s="22">
        <v>117.66</v>
      </c>
      <c r="N15" s="20">
        <f t="shared" si="0"/>
        <v>99.4066666666667</v>
      </c>
    </row>
    <row r="16" spans="1:14">
      <c r="A16" s="14" t="s">
        <v>18</v>
      </c>
      <c r="B16" s="22">
        <v>86.94</v>
      </c>
      <c r="C16" s="22">
        <v>76.74</v>
      </c>
      <c r="D16" s="22">
        <v>60.19</v>
      </c>
      <c r="E16" s="22">
        <v>56.59</v>
      </c>
      <c r="F16" s="22">
        <v>54.37</v>
      </c>
      <c r="G16" s="22">
        <v>79.02</v>
      </c>
      <c r="H16" s="22">
        <v>113.61</v>
      </c>
      <c r="I16" s="22">
        <v>71.91</v>
      </c>
      <c r="J16" s="22">
        <v>53.5</v>
      </c>
      <c r="K16" s="22">
        <v>42.01</v>
      </c>
      <c r="L16" s="22">
        <v>57.15</v>
      </c>
      <c r="M16" s="22">
        <v>53.58</v>
      </c>
      <c r="N16" s="20">
        <f t="shared" si="0"/>
        <v>67.1341666666667</v>
      </c>
    </row>
    <row r="17" spans="1:14">
      <c r="A17" s="14" t="s">
        <v>19</v>
      </c>
      <c r="B17" s="22">
        <v>110.98</v>
      </c>
      <c r="C17" s="22">
        <v>111.28</v>
      </c>
      <c r="D17" s="22">
        <v>107.2</v>
      </c>
      <c r="E17" s="22">
        <v>111.95</v>
      </c>
      <c r="F17" s="22">
        <v>103.27</v>
      </c>
      <c r="G17" s="25">
        <v>109.51</v>
      </c>
      <c r="H17" s="22">
        <v>122.27</v>
      </c>
      <c r="I17" s="22">
        <v>118.37</v>
      </c>
      <c r="J17" s="22">
        <v>120.65</v>
      </c>
      <c r="K17" s="22">
        <v>97.72</v>
      </c>
      <c r="L17" s="22">
        <v>120.65</v>
      </c>
      <c r="M17" s="22">
        <v>122.11</v>
      </c>
      <c r="N17" s="20">
        <f t="shared" si="0"/>
        <v>112.996666666667</v>
      </c>
    </row>
    <row r="18" spans="1:14">
      <c r="A18" s="14" t="s">
        <v>20</v>
      </c>
      <c r="B18" s="22">
        <v>78.12</v>
      </c>
      <c r="C18" s="22">
        <v>90.53</v>
      </c>
      <c r="D18" s="22">
        <v>100.05</v>
      </c>
      <c r="E18" s="22">
        <v>90.43</v>
      </c>
      <c r="F18" s="22">
        <v>76.95</v>
      </c>
      <c r="G18" s="22">
        <v>88.26</v>
      </c>
      <c r="H18" s="22">
        <v>82.28</v>
      </c>
      <c r="I18" s="22">
        <v>83.78</v>
      </c>
      <c r="J18" s="22">
        <v>69.03</v>
      </c>
      <c r="K18" s="22">
        <v>81.63</v>
      </c>
      <c r="L18" s="22">
        <v>87.54</v>
      </c>
      <c r="M18" s="22">
        <v>89.9</v>
      </c>
      <c r="N18" s="20">
        <f t="shared" si="0"/>
        <v>84.875</v>
      </c>
    </row>
    <row r="19" spans="1:14">
      <c r="A19" s="14" t="s">
        <v>21</v>
      </c>
      <c r="B19" s="22">
        <v>22.16</v>
      </c>
      <c r="C19" s="22">
        <v>34.59</v>
      </c>
      <c r="D19" s="22">
        <v>34.72</v>
      </c>
      <c r="E19" s="22">
        <v>36.23</v>
      </c>
      <c r="F19" s="22">
        <v>39.64</v>
      </c>
      <c r="G19" s="22">
        <v>34.56</v>
      </c>
      <c r="H19" s="22">
        <v>29.54</v>
      </c>
      <c r="I19" s="22">
        <v>34.89</v>
      </c>
      <c r="J19" s="22">
        <v>33.07</v>
      </c>
      <c r="K19" s="22">
        <v>39.22</v>
      </c>
      <c r="L19" s="22">
        <v>51.05</v>
      </c>
      <c r="M19" s="22">
        <v>35.31</v>
      </c>
      <c r="N19" s="20">
        <f t="shared" si="0"/>
        <v>35.415</v>
      </c>
    </row>
    <row r="20" spans="1:14">
      <c r="A20" s="14" t="s">
        <v>22</v>
      </c>
      <c r="B20" s="22">
        <v>90.53</v>
      </c>
      <c r="C20" s="22">
        <v>113.25</v>
      </c>
      <c r="D20" s="22">
        <v>107.09</v>
      </c>
      <c r="E20" s="22">
        <v>93.38</v>
      </c>
      <c r="F20" s="22">
        <v>96.22</v>
      </c>
      <c r="G20" s="22">
        <v>105.83</v>
      </c>
      <c r="H20" s="22">
        <v>106.92</v>
      </c>
      <c r="I20" s="22">
        <v>94.69</v>
      </c>
      <c r="J20" s="22">
        <v>97.32</v>
      </c>
      <c r="K20" s="22">
        <v>90.15</v>
      </c>
      <c r="L20" s="22">
        <v>116.93</v>
      </c>
      <c r="M20" s="22">
        <v>115.11</v>
      </c>
      <c r="N20" s="20">
        <f t="shared" si="0"/>
        <v>102.285</v>
      </c>
    </row>
    <row r="21" spans="1:14">
      <c r="A21" s="14" t="s">
        <v>23</v>
      </c>
      <c r="B21" s="22">
        <v>110.89</v>
      </c>
      <c r="C21" s="22">
        <v>115.75</v>
      </c>
      <c r="D21" s="22">
        <v>136.46</v>
      </c>
      <c r="E21" s="22">
        <v>134.17</v>
      </c>
      <c r="F21" s="22">
        <v>120.97</v>
      </c>
      <c r="G21" s="22">
        <v>139.23</v>
      </c>
      <c r="H21" s="22">
        <v>138.36</v>
      </c>
      <c r="I21" s="22">
        <v>136.18</v>
      </c>
      <c r="J21" s="22">
        <v>139.76</v>
      </c>
      <c r="K21" s="22">
        <v>126.84</v>
      </c>
      <c r="L21" s="22">
        <v>139.23</v>
      </c>
      <c r="M21" s="22">
        <v>137.15</v>
      </c>
      <c r="N21" s="20">
        <f t="shared" si="0"/>
        <v>131.249166666667</v>
      </c>
    </row>
    <row r="22" spans="1:14">
      <c r="A22" s="14" t="s">
        <v>24</v>
      </c>
      <c r="B22" s="22">
        <v>71.21</v>
      </c>
      <c r="C22" s="22">
        <v>88.21</v>
      </c>
      <c r="D22" s="22">
        <v>79.19</v>
      </c>
      <c r="E22" s="22">
        <v>67.58</v>
      </c>
      <c r="F22" s="22">
        <v>91.85</v>
      </c>
      <c r="G22" s="22">
        <v>83.33</v>
      </c>
      <c r="H22" s="22">
        <v>94.44</v>
      </c>
      <c r="I22" s="22">
        <v>73.55</v>
      </c>
      <c r="J22" s="22">
        <v>80.25</v>
      </c>
      <c r="K22" s="22">
        <v>86.53</v>
      </c>
      <c r="L22" s="22">
        <v>82</v>
      </c>
      <c r="M22" s="22">
        <v>93.39</v>
      </c>
      <c r="N22" s="20">
        <f t="shared" si="0"/>
        <v>82.6275</v>
      </c>
    </row>
    <row r="23" spans="1:14">
      <c r="A23" s="14" t="s">
        <v>25</v>
      </c>
      <c r="B23" s="22">
        <v>83.74</v>
      </c>
      <c r="C23" s="22">
        <v>100.29</v>
      </c>
      <c r="D23" s="22">
        <v>101.94</v>
      </c>
      <c r="E23" s="22">
        <v>89.2</v>
      </c>
      <c r="F23" s="22">
        <v>81.42</v>
      </c>
      <c r="G23" s="22">
        <v>87.87</v>
      </c>
      <c r="H23" s="22">
        <v>121.68</v>
      </c>
      <c r="I23" s="22">
        <v>81.55</v>
      </c>
      <c r="J23" s="22">
        <v>82.4</v>
      </c>
      <c r="K23" s="22">
        <v>75.74</v>
      </c>
      <c r="L23" s="22">
        <v>96.13</v>
      </c>
      <c r="M23" s="22">
        <v>92.39</v>
      </c>
      <c r="N23" s="20">
        <f t="shared" si="0"/>
        <v>91.1958333333333</v>
      </c>
    </row>
    <row r="24" spans="1:14">
      <c r="A24" s="14" t="s">
        <v>26</v>
      </c>
      <c r="B24" s="22">
        <v>82.99</v>
      </c>
      <c r="C24" s="22">
        <v>76.79</v>
      </c>
      <c r="D24" s="22">
        <v>87.98</v>
      </c>
      <c r="E24" s="22">
        <v>99.85</v>
      </c>
      <c r="F24" s="22">
        <v>97.95</v>
      </c>
      <c r="G24" s="22">
        <v>103.94</v>
      </c>
      <c r="H24" s="22">
        <v>102.93</v>
      </c>
      <c r="I24" s="22">
        <v>102.49</v>
      </c>
      <c r="J24" s="22">
        <v>97.27</v>
      </c>
      <c r="K24" s="22">
        <v>101.91</v>
      </c>
      <c r="L24" s="22">
        <v>99.24</v>
      </c>
      <c r="M24" s="22">
        <v>111.58</v>
      </c>
      <c r="N24" s="20">
        <f t="shared" si="0"/>
        <v>97.0766666666667</v>
      </c>
    </row>
    <row r="25" spans="1:14">
      <c r="A25" s="14" t="s">
        <v>27</v>
      </c>
      <c r="B25" s="22">
        <v>94.66</v>
      </c>
      <c r="C25" s="22">
        <v>117.26</v>
      </c>
      <c r="D25" s="22">
        <v>124.39</v>
      </c>
      <c r="E25" s="22">
        <v>116.79</v>
      </c>
      <c r="F25" s="22">
        <v>114.75</v>
      </c>
      <c r="G25" s="22">
        <v>119.09</v>
      </c>
      <c r="H25" s="22">
        <v>116.28</v>
      </c>
      <c r="I25" s="22">
        <v>113.86</v>
      </c>
      <c r="J25" s="22">
        <v>110.6</v>
      </c>
      <c r="K25" s="22">
        <v>107.83</v>
      </c>
      <c r="L25" s="22">
        <v>116.98</v>
      </c>
      <c r="M25" s="22">
        <v>138.12</v>
      </c>
      <c r="N25" s="20">
        <f t="shared" si="0"/>
        <v>115.884166666667</v>
      </c>
    </row>
    <row r="26" spans="1:14">
      <c r="A26" s="14" t="s">
        <v>28</v>
      </c>
      <c r="B26" s="22">
        <v>82.2</v>
      </c>
      <c r="C26" s="22">
        <v>75.82</v>
      </c>
      <c r="D26" s="22">
        <v>73.8</v>
      </c>
      <c r="E26" s="22">
        <v>78.59</v>
      </c>
      <c r="F26" s="22">
        <v>71.59</v>
      </c>
      <c r="G26" s="22">
        <v>78.15</v>
      </c>
      <c r="H26" s="22">
        <v>83.6</v>
      </c>
      <c r="I26" s="22">
        <v>73.61</v>
      </c>
      <c r="J26" s="22">
        <v>60.8</v>
      </c>
      <c r="K26" s="22">
        <v>54.88</v>
      </c>
      <c r="L26" s="22">
        <v>84.98</v>
      </c>
      <c r="M26" s="22">
        <v>75.83</v>
      </c>
      <c r="N26" s="20">
        <f t="shared" si="0"/>
        <v>74.4875</v>
      </c>
    </row>
    <row r="27" spans="1:14">
      <c r="A27" s="14" t="s">
        <v>29</v>
      </c>
      <c r="B27" s="22">
        <v>29.52</v>
      </c>
      <c r="C27" s="22">
        <v>37.14</v>
      </c>
      <c r="D27" s="22">
        <v>33.63</v>
      </c>
      <c r="E27" s="22">
        <v>32.75</v>
      </c>
      <c r="F27" s="22">
        <v>31.29</v>
      </c>
      <c r="G27" s="22">
        <v>32.42</v>
      </c>
      <c r="H27" s="22">
        <v>30.4</v>
      </c>
      <c r="I27" s="22">
        <v>30.65</v>
      </c>
      <c r="J27" s="22">
        <v>39</v>
      </c>
      <c r="K27" s="22">
        <v>29.35</v>
      </c>
      <c r="L27" s="22">
        <v>32</v>
      </c>
      <c r="M27" s="22">
        <v>41.13</v>
      </c>
      <c r="N27" s="20">
        <f t="shared" si="0"/>
        <v>33.2733333333333</v>
      </c>
    </row>
    <row r="28" spans="1:14">
      <c r="A28" s="14" t="s">
        <v>30</v>
      </c>
      <c r="B28" s="22">
        <v>80.07</v>
      </c>
      <c r="C28" s="22">
        <v>87.61</v>
      </c>
      <c r="D28" s="22">
        <v>89.93</v>
      </c>
      <c r="E28" s="22">
        <v>77.13</v>
      </c>
      <c r="F28" s="22">
        <v>57.54</v>
      </c>
      <c r="G28" s="22">
        <v>60.15</v>
      </c>
      <c r="H28" s="22">
        <v>68.73</v>
      </c>
      <c r="I28" s="22">
        <v>64.59</v>
      </c>
      <c r="J28" s="22">
        <v>64.97</v>
      </c>
      <c r="K28" s="22">
        <v>54.34</v>
      </c>
      <c r="L28" s="22">
        <v>66.79</v>
      </c>
      <c r="M28" s="22">
        <v>69.03</v>
      </c>
      <c r="N28" s="20">
        <f t="shared" si="0"/>
        <v>70.0733333333333</v>
      </c>
    </row>
    <row r="29" spans="1:14">
      <c r="A29" s="14" t="s">
        <v>31</v>
      </c>
      <c r="B29" s="22">
        <v>77.28</v>
      </c>
      <c r="C29" s="22">
        <v>88.72</v>
      </c>
      <c r="D29" s="22">
        <v>77.83</v>
      </c>
      <c r="E29" s="22">
        <v>86.62</v>
      </c>
      <c r="F29" s="22">
        <v>86.73</v>
      </c>
      <c r="G29" s="22">
        <v>96.1</v>
      </c>
      <c r="H29" s="22">
        <v>96.73</v>
      </c>
      <c r="I29" s="22">
        <v>93.36</v>
      </c>
      <c r="J29" s="22">
        <v>87.81</v>
      </c>
      <c r="K29" s="22">
        <v>76.22</v>
      </c>
      <c r="L29" s="22">
        <v>92.19</v>
      </c>
      <c r="M29" s="22">
        <v>91.15</v>
      </c>
      <c r="N29" s="20">
        <f t="shared" si="0"/>
        <v>87.5616666666667</v>
      </c>
    </row>
    <row r="30" spans="1:14">
      <c r="A30" s="14" t="s">
        <v>32</v>
      </c>
      <c r="B30" s="22">
        <v>60.4</v>
      </c>
      <c r="C30" s="22">
        <v>88.3</v>
      </c>
      <c r="D30" s="22">
        <v>104.84</v>
      </c>
      <c r="E30" s="22">
        <v>95.67</v>
      </c>
      <c r="F30" s="22">
        <v>74.19</v>
      </c>
      <c r="G30" s="22">
        <v>79</v>
      </c>
      <c r="H30" s="22">
        <v>94.76</v>
      </c>
      <c r="I30" s="22">
        <v>104.84</v>
      </c>
      <c r="J30" s="22">
        <v>105.25</v>
      </c>
      <c r="K30" s="22">
        <v>111.53</v>
      </c>
      <c r="L30" s="22">
        <v>128.08</v>
      </c>
      <c r="M30" s="22">
        <v>117.74</v>
      </c>
      <c r="N30" s="20">
        <f t="shared" si="0"/>
        <v>97.05</v>
      </c>
    </row>
    <row r="31" spans="1:14">
      <c r="A31" s="14" t="s">
        <v>33</v>
      </c>
      <c r="B31" s="22">
        <v>63.71</v>
      </c>
      <c r="C31" s="22">
        <v>71.61</v>
      </c>
      <c r="D31" s="22">
        <v>54.35</v>
      </c>
      <c r="E31" s="22">
        <v>60.33</v>
      </c>
      <c r="F31" s="22">
        <v>63.23</v>
      </c>
      <c r="G31" s="22">
        <v>81.17</v>
      </c>
      <c r="H31" s="22">
        <v>81.61</v>
      </c>
      <c r="I31" s="22">
        <v>74.84</v>
      </c>
      <c r="J31" s="22">
        <v>80.5</v>
      </c>
      <c r="K31" s="22">
        <v>73.55</v>
      </c>
      <c r="L31" s="22">
        <v>90.5</v>
      </c>
      <c r="M31" s="22">
        <v>85.97</v>
      </c>
      <c r="N31" s="20">
        <f t="shared" si="0"/>
        <v>73.4475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31"/>
  <sheetViews>
    <sheetView workbookViewId="0">
      <selection activeCell="H16" sqref="H16"/>
    </sheetView>
  </sheetViews>
  <sheetFormatPr defaultColWidth="9" defaultRowHeight="14.1"/>
  <cols>
    <col min="1" max="1" width="16.3063063063063" style="13" customWidth="1"/>
    <col min="2" max="2" width="11.7477477477477" style="13" customWidth="1"/>
    <col min="3" max="3" width="11.7477477477477" style="14" customWidth="1"/>
    <col min="4" max="4" width="11.4234234234234" style="15" customWidth="1"/>
    <col min="5" max="5" width="11.7477477477477" style="16" customWidth="1"/>
    <col min="6" max="6" width="11.7477477477477" style="17" customWidth="1"/>
    <col min="7" max="7" width="11.4234234234234" style="18" customWidth="1"/>
    <col min="8" max="8" width="11.4234234234234" style="19" customWidth="1"/>
    <col min="9" max="10" width="11.7477477477477" style="16" customWidth="1"/>
    <col min="11" max="13" width="11.4234234234234" style="17" customWidth="1"/>
    <col min="14" max="14" width="6.54954954954955" style="20" customWidth="1"/>
  </cols>
  <sheetData>
    <row r="1" ht="14.15" spans="1:14">
      <c r="A1" s="14" t="s">
        <v>0</v>
      </c>
      <c r="B1" s="14" t="s">
        <v>34</v>
      </c>
      <c r="C1" s="14" t="s">
        <v>34</v>
      </c>
      <c r="D1" s="14" t="s">
        <v>35</v>
      </c>
      <c r="E1" s="17" t="s">
        <v>35</v>
      </c>
      <c r="F1" s="17" t="s">
        <v>35</v>
      </c>
      <c r="G1" s="17" t="s">
        <v>35</v>
      </c>
      <c r="H1" s="17" t="s">
        <v>35</v>
      </c>
      <c r="I1" s="17" t="s">
        <v>35</v>
      </c>
      <c r="J1" s="17" t="s">
        <v>35</v>
      </c>
      <c r="K1" s="17" t="s">
        <v>35</v>
      </c>
      <c r="L1" s="17" t="s">
        <v>35</v>
      </c>
      <c r="M1" s="17" t="s">
        <v>35</v>
      </c>
      <c r="N1" s="20" t="s">
        <v>3</v>
      </c>
    </row>
    <row r="2" spans="1:14">
      <c r="A2" s="14" t="s">
        <v>4</v>
      </c>
      <c r="B2" s="17">
        <v>5.01</v>
      </c>
      <c r="C2" s="17">
        <v>4.53</v>
      </c>
      <c r="D2" s="17">
        <v>4.64</v>
      </c>
      <c r="E2" s="17">
        <v>4.29</v>
      </c>
      <c r="F2" s="17">
        <v>4.36</v>
      </c>
      <c r="G2" s="17">
        <v>4.38</v>
      </c>
      <c r="H2" s="17">
        <v>4.47</v>
      </c>
      <c r="I2" s="17">
        <v>4.22</v>
      </c>
      <c r="J2" s="17">
        <v>4.33</v>
      </c>
      <c r="K2" s="17">
        <v>4.59</v>
      </c>
      <c r="L2" s="17">
        <v>4.55</v>
      </c>
      <c r="M2" s="17">
        <v>4.56</v>
      </c>
      <c r="N2" s="20">
        <f t="shared" ref="N2:N31" si="0">AVERAGE(B2:M2)</f>
        <v>4.49416666666667</v>
      </c>
    </row>
    <row r="3" spans="1:14">
      <c r="A3" s="14" t="s">
        <v>5</v>
      </c>
      <c r="B3" s="17">
        <v>9.96</v>
      </c>
      <c r="C3" s="17">
        <v>9.96</v>
      </c>
      <c r="D3" s="17">
        <v>10.48</v>
      </c>
      <c r="E3" s="17">
        <v>9.58</v>
      </c>
      <c r="F3" s="17">
        <v>9.86</v>
      </c>
      <c r="G3" s="17">
        <v>9.82</v>
      </c>
      <c r="H3" s="17">
        <v>10.14</v>
      </c>
      <c r="I3" s="17">
        <v>10.66</v>
      </c>
      <c r="J3" s="17">
        <v>10.32</v>
      </c>
      <c r="K3" s="17">
        <v>10.45</v>
      </c>
      <c r="L3" s="17">
        <v>9.73</v>
      </c>
      <c r="M3" s="17">
        <v>10.02</v>
      </c>
      <c r="N3" s="20">
        <f t="shared" si="0"/>
        <v>10.0816666666667</v>
      </c>
    </row>
    <row r="4" spans="1:14">
      <c r="A4" s="14" t="s">
        <v>6</v>
      </c>
      <c r="B4" s="17">
        <v>7.84</v>
      </c>
      <c r="C4" s="17">
        <v>7.42</v>
      </c>
      <c r="D4" s="17">
        <v>6.61</v>
      </c>
      <c r="E4" s="17">
        <v>6.26</v>
      </c>
      <c r="F4" s="17">
        <v>6.33</v>
      </c>
      <c r="G4" s="17">
        <v>6.8</v>
      </c>
      <c r="H4" s="17">
        <v>7.17</v>
      </c>
      <c r="I4" s="17">
        <v>6.81</v>
      </c>
      <c r="J4" s="17">
        <v>7.2</v>
      </c>
      <c r="K4" s="17">
        <v>7.96</v>
      </c>
      <c r="L4" s="17">
        <v>6.67</v>
      </c>
      <c r="M4" s="17">
        <v>6.9</v>
      </c>
      <c r="N4" s="20">
        <f t="shared" si="0"/>
        <v>6.9975</v>
      </c>
    </row>
    <row r="5" spans="1:14">
      <c r="A5" s="14" t="s">
        <v>7</v>
      </c>
      <c r="B5" s="17">
        <v>7.48</v>
      </c>
      <c r="C5" s="17">
        <v>7.72</v>
      </c>
      <c r="D5" s="17">
        <v>7.6</v>
      </c>
      <c r="E5" s="17">
        <v>8.07</v>
      </c>
      <c r="F5" s="17">
        <v>8.2</v>
      </c>
      <c r="G5" s="17">
        <v>8.26</v>
      </c>
      <c r="H5" s="17">
        <v>8.19</v>
      </c>
      <c r="I5" s="17">
        <v>8.48</v>
      </c>
      <c r="J5" s="17">
        <v>7.98</v>
      </c>
      <c r="K5" s="17">
        <v>7.8</v>
      </c>
      <c r="L5" s="17">
        <v>7.66</v>
      </c>
      <c r="M5" s="17">
        <v>7.77</v>
      </c>
      <c r="N5" s="20">
        <f t="shared" si="0"/>
        <v>7.93416666666667</v>
      </c>
    </row>
    <row r="6" spans="1:14">
      <c r="A6" s="14" t="s">
        <v>8</v>
      </c>
      <c r="B6" s="17">
        <v>5.74</v>
      </c>
      <c r="C6" s="17">
        <v>5.04</v>
      </c>
      <c r="D6" s="17">
        <v>5.19</v>
      </c>
      <c r="E6" s="17">
        <v>4.8</v>
      </c>
      <c r="F6" s="17">
        <v>5.22</v>
      </c>
      <c r="G6" s="17">
        <v>4.9</v>
      </c>
      <c r="H6" s="17">
        <v>5.26</v>
      </c>
      <c r="I6" s="17">
        <v>5.41</v>
      </c>
      <c r="J6" s="17">
        <v>5.44</v>
      </c>
      <c r="K6" s="17">
        <v>5.54</v>
      </c>
      <c r="L6" s="17">
        <v>5.27</v>
      </c>
      <c r="M6" s="17">
        <v>5.2</v>
      </c>
      <c r="N6" s="20">
        <f t="shared" si="0"/>
        <v>5.25083333333333</v>
      </c>
    </row>
    <row r="7" spans="1:14">
      <c r="A7" s="14" t="s">
        <v>9</v>
      </c>
      <c r="B7" s="17">
        <v>6.5</v>
      </c>
      <c r="C7" s="17">
        <v>5.87</v>
      </c>
      <c r="D7" s="17">
        <v>6.26</v>
      </c>
      <c r="E7" s="17">
        <v>5.68</v>
      </c>
      <c r="F7" s="17">
        <v>5.94</v>
      </c>
      <c r="G7" s="17">
        <v>6.24</v>
      </c>
      <c r="H7" s="17">
        <v>6.1</v>
      </c>
      <c r="I7" s="17">
        <v>6.37</v>
      </c>
      <c r="J7" s="17">
        <v>6.11</v>
      </c>
      <c r="K7" s="17">
        <v>5.86</v>
      </c>
      <c r="L7" s="17">
        <v>6.29</v>
      </c>
      <c r="M7" s="17">
        <v>6.22</v>
      </c>
      <c r="N7" s="20">
        <f t="shared" si="0"/>
        <v>6.12</v>
      </c>
    </row>
    <row r="8" spans="1:14">
      <c r="A8" s="14" t="s">
        <v>10</v>
      </c>
      <c r="B8" s="17">
        <v>6.92</v>
      </c>
      <c r="C8" s="17">
        <v>6.68</v>
      </c>
      <c r="D8" s="17">
        <v>6.4</v>
      </c>
      <c r="E8" s="17">
        <v>6.13</v>
      </c>
      <c r="F8" s="17">
        <v>6.17</v>
      </c>
      <c r="G8" s="17">
        <v>6.2</v>
      </c>
      <c r="H8" s="17">
        <v>7.04</v>
      </c>
      <c r="I8" s="17">
        <v>6.59</v>
      </c>
      <c r="J8" s="17">
        <v>6.93</v>
      </c>
      <c r="K8" s="17">
        <v>6.99</v>
      </c>
      <c r="L8" s="17">
        <v>6.85</v>
      </c>
      <c r="M8" s="17">
        <v>6.72</v>
      </c>
      <c r="N8" s="20">
        <f t="shared" si="0"/>
        <v>6.635</v>
      </c>
    </row>
    <row r="9" spans="1:14">
      <c r="A9" s="14" t="s">
        <v>11</v>
      </c>
      <c r="B9" s="17">
        <v>12.33</v>
      </c>
      <c r="C9" s="17">
        <v>10.73</v>
      </c>
      <c r="D9" s="17">
        <v>13</v>
      </c>
      <c r="E9" s="17">
        <v>12.09</v>
      </c>
      <c r="F9" s="17">
        <v>12.72</v>
      </c>
      <c r="G9" s="17">
        <v>13.83</v>
      </c>
      <c r="H9" s="17">
        <v>13.06</v>
      </c>
      <c r="I9" s="17">
        <v>12.77</v>
      </c>
      <c r="J9" s="17">
        <v>13.01</v>
      </c>
      <c r="K9" s="17">
        <v>13.15</v>
      </c>
      <c r="L9" s="17">
        <v>13.02</v>
      </c>
      <c r="M9" s="17">
        <v>12.79</v>
      </c>
      <c r="N9" s="20">
        <f t="shared" si="0"/>
        <v>12.7083333333333</v>
      </c>
    </row>
    <row r="10" spans="1:14">
      <c r="A10" s="14" t="s">
        <v>12</v>
      </c>
      <c r="B10" s="17">
        <v>4.38</v>
      </c>
      <c r="C10" s="17">
        <v>3.99</v>
      </c>
      <c r="D10" s="17">
        <v>4.5</v>
      </c>
      <c r="E10" s="17">
        <v>4.42</v>
      </c>
      <c r="F10" s="17">
        <v>4.42</v>
      </c>
      <c r="G10" s="17">
        <v>4.13</v>
      </c>
      <c r="H10" s="17">
        <v>4.49</v>
      </c>
      <c r="I10" s="17">
        <v>4.36</v>
      </c>
      <c r="J10" s="17">
        <v>4.29</v>
      </c>
      <c r="K10" s="17">
        <v>3.79</v>
      </c>
      <c r="L10" s="17">
        <v>4.23</v>
      </c>
      <c r="M10" s="17">
        <v>4.31</v>
      </c>
      <c r="N10" s="20">
        <f t="shared" si="0"/>
        <v>4.27583333333333</v>
      </c>
    </row>
    <row r="11" spans="1:14">
      <c r="A11" s="14" t="s">
        <v>13</v>
      </c>
      <c r="B11" s="17">
        <v>7.34</v>
      </c>
      <c r="C11" s="17">
        <v>6.64</v>
      </c>
      <c r="D11" s="17">
        <v>7.05</v>
      </c>
      <c r="E11" s="17">
        <v>7.03</v>
      </c>
      <c r="F11" s="17">
        <v>7.25</v>
      </c>
      <c r="G11" s="17">
        <v>8.04</v>
      </c>
      <c r="H11" s="17">
        <v>7.01</v>
      </c>
      <c r="I11" s="17">
        <v>7.63</v>
      </c>
      <c r="J11" s="17">
        <v>7.59</v>
      </c>
      <c r="K11" s="17">
        <v>7.84</v>
      </c>
      <c r="L11" s="17">
        <v>8.63</v>
      </c>
      <c r="M11" s="17">
        <v>9.29</v>
      </c>
      <c r="N11" s="20">
        <f t="shared" si="0"/>
        <v>7.61166666666667</v>
      </c>
    </row>
    <row r="12" spans="1:14">
      <c r="A12" s="14" t="s">
        <v>14</v>
      </c>
      <c r="B12" s="17">
        <v>10.55</v>
      </c>
      <c r="C12" s="17">
        <v>11.08</v>
      </c>
      <c r="D12" s="17">
        <v>10.81</v>
      </c>
      <c r="E12" s="17">
        <v>9.27</v>
      </c>
      <c r="F12" s="17">
        <v>11.21</v>
      </c>
      <c r="G12" s="17">
        <v>12.74</v>
      </c>
      <c r="H12" s="17">
        <v>12.11</v>
      </c>
      <c r="I12" s="17">
        <v>10.8</v>
      </c>
      <c r="J12" s="17">
        <v>10.76</v>
      </c>
      <c r="K12" s="17">
        <v>9.75</v>
      </c>
      <c r="L12" s="17">
        <v>9.6</v>
      </c>
      <c r="M12" s="17">
        <v>23.48</v>
      </c>
      <c r="N12" s="20">
        <f t="shared" si="0"/>
        <v>11.8466666666667</v>
      </c>
    </row>
    <row r="13" spans="1:14">
      <c r="A13" s="14" t="s">
        <v>15</v>
      </c>
      <c r="B13" s="17">
        <v>9.35</v>
      </c>
      <c r="C13" s="17">
        <v>8.71</v>
      </c>
      <c r="D13" s="17">
        <v>8.12</v>
      </c>
      <c r="E13" s="17">
        <v>8.23</v>
      </c>
      <c r="F13" s="17">
        <v>9.93</v>
      </c>
      <c r="G13" s="17">
        <v>8.18</v>
      </c>
      <c r="H13" s="17">
        <v>10.29</v>
      </c>
      <c r="I13" s="17">
        <v>8.68</v>
      </c>
      <c r="J13" s="17">
        <v>8</v>
      </c>
      <c r="K13" s="17">
        <v>9.4</v>
      </c>
      <c r="L13" s="17">
        <v>9.38</v>
      </c>
      <c r="M13" s="17">
        <v>8.77</v>
      </c>
      <c r="N13" s="20">
        <f t="shared" si="0"/>
        <v>8.92</v>
      </c>
    </row>
    <row r="14" spans="1:14">
      <c r="A14" s="14" t="s">
        <v>16</v>
      </c>
      <c r="B14" s="17">
        <v>11.22</v>
      </c>
      <c r="C14" s="17">
        <v>10.25</v>
      </c>
      <c r="D14" s="17">
        <v>13.44</v>
      </c>
      <c r="E14" s="17">
        <v>12.16</v>
      </c>
      <c r="F14" s="17">
        <v>12.9</v>
      </c>
      <c r="G14" s="17">
        <v>11.93</v>
      </c>
      <c r="H14" s="17">
        <v>13.32</v>
      </c>
      <c r="I14" s="17">
        <v>9.38</v>
      </c>
      <c r="J14" s="17">
        <v>13.63</v>
      </c>
      <c r="K14" s="17">
        <v>13</v>
      </c>
      <c r="L14" s="17">
        <v>13.25</v>
      </c>
      <c r="M14" s="17">
        <v>12.02</v>
      </c>
      <c r="N14" s="20">
        <f t="shared" si="0"/>
        <v>12.2083333333333</v>
      </c>
    </row>
    <row r="15" spans="1:14">
      <c r="A15" s="14" t="s">
        <v>17</v>
      </c>
      <c r="B15" s="17">
        <v>7.66</v>
      </c>
      <c r="C15" s="17">
        <v>6.92</v>
      </c>
      <c r="D15" s="17">
        <v>8.05</v>
      </c>
      <c r="E15" s="17">
        <v>6.43</v>
      </c>
      <c r="F15" s="17">
        <v>7.01</v>
      </c>
      <c r="G15" s="17">
        <v>7.63</v>
      </c>
      <c r="H15" s="17">
        <v>6.92</v>
      </c>
      <c r="I15" s="17">
        <v>6.33</v>
      </c>
      <c r="J15" s="17">
        <v>6.63</v>
      </c>
      <c r="K15" s="17">
        <v>6.06</v>
      </c>
      <c r="L15" s="17">
        <v>6.35</v>
      </c>
      <c r="M15" s="17">
        <v>6.99</v>
      </c>
      <c r="N15" s="20">
        <f t="shared" si="0"/>
        <v>6.915</v>
      </c>
    </row>
    <row r="16" spans="1:14">
      <c r="A16" s="14" t="s">
        <v>18</v>
      </c>
      <c r="B16" s="17">
        <v>4.28</v>
      </c>
      <c r="C16" s="17">
        <v>7.19</v>
      </c>
      <c r="D16" s="17">
        <v>5.67</v>
      </c>
      <c r="E16" s="17">
        <v>4.83</v>
      </c>
      <c r="F16" s="17">
        <v>8.3</v>
      </c>
      <c r="G16" s="17">
        <v>5.92</v>
      </c>
      <c r="H16" s="17">
        <v>3.74</v>
      </c>
      <c r="I16" s="17">
        <v>4.13</v>
      </c>
      <c r="J16" s="17">
        <v>6.58</v>
      </c>
      <c r="K16" s="17">
        <v>4.66</v>
      </c>
      <c r="L16" s="17">
        <v>5.01</v>
      </c>
      <c r="M16" s="17">
        <v>6.74</v>
      </c>
      <c r="N16" s="20">
        <f t="shared" si="0"/>
        <v>5.5875</v>
      </c>
    </row>
    <row r="17" spans="1:14">
      <c r="A17" s="14" t="s">
        <v>19</v>
      </c>
      <c r="B17" s="17">
        <v>2.67</v>
      </c>
      <c r="C17" s="17">
        <v>2.35</v>
      </c>
      <c r="D17" s="17">
        <v>2.77</v>
      </c>
      <c r="E17" s="17">
        <v>2.53</v>
      </c>
      <c r="F17" s="17">
        <v>2.59</v>
      </c>
      <c r="G17" s="17">
        <v>2.64</v>
      </c>
      <c r="H17" s="17">
        <v>2.56</v>
      </c>
      <c r="I17" s="17">
        <v>2.61</v>
      </c>
      <c r="J17" s="17">
        <v>2.58</v>
      </c>
      <c r="K17" s="17">
        <v>2.37</v>
      </c>
      <c r="L17" s="17">
        <v>2.6</v>
      </c>
      <c r="M17" s="17">
        <v>2.54</v>
      </c>
      <c r="N17" s="20">
        <f t="shared" si="0"/>
        <v>2.5675</v>
      </c>
    </row>
    <row r="18" spans="1:14">
      <c r="A18" s="14" t="s">
        <v>20</v>
      </c>
      <c r="B18" s="17">
        <v>10.64</v>
      </c>
      <c r="C18" s="17">
        <v>7.67</v>
      </c>
      <c r="D18" s="17">
        <v>9.49</v>
      </c>
      <c r="E18" s="17">
        <v>9.36</v>
      </c>
      <c r="F18" s="17">
        <v>8.01</v>
      </c>
      <c r="G18" s="17">
        <v>8.76</v>
      </c>
      <c r="H18" s="17">
        <v>7.42</v>
      </c>
      <c r="I18" s="17">
        <v>8.08</v>
      </c>
      <c r="J18" s="17">
        <v>8.2</v>
      </c>
      <c r="K18" s="17">
        <v>8.5</v>
      </c>
      <c r="L18" s="17">
        <v>8.73</v>
      </c>
      <c r="M18" s="17">
        <v>8.44</v>
      </c>
      <c r="N18" s="20">
        <f t="shared" si="0"/>
        <v>8.60833333333333</v>
      </c>
    </row>
    <row r="19" spans="1:14">
      <c r="A19" s="14" t="s">
        <v>21</v>
      </c>
      <c r="B19" s="17">
        <v>8.93</v>
      </c>
      <c r="C19" s="17">
        <v>10.81</v>
      </c>
      <c r="D19" s="17">
        <v>13.08</v>
      </c>
      <c r="E19" s="17">
        <v>13.4</v>
      </c>
      <c r="F19" s="17">
        <v>13.88</v>
      </c>
      <c r="G19" s="17">
        <v>12.06</v>
      </c>
      <c r="H19" s="17">
        <v>15.03</v>
      </c>
      <c r="I19" s="17">
        <v>11.9</v>
      </c>
      <c r="J19" s="17">
        <v>17.69</v>
      </c>
      <c r="K19" s="17">
        <v>13.03</v>
      </c>
      <c r="L19" s="17">
        <v>14.39</v>
      </c>
      <c r="M19" s="17">
        <v>18.41</v>
      </c>
      <c r="N19" s="20">
        <f t="shared" si="0"/>
        <v>13.5508333333333</v>
      </c>
    </row>
    <row r="20" spans="1:14">
      <c r="A20" s="14" t="s">
        <v>22</v>
      </c>
      <c r="B20" s="17">
        <v>8.33</v>
      </c>
      <c r="C20" s="17">
        <v>7.97</v>
      </c>
      <c r="D20" s="17">
        <v>7.73</v>
      </c>
      <c r="E20" s="17">
        <v>6.85</v>
      </c>
      <c r="F20" s="17">
        <v>6.92</v>
      </c>
      <c r="G20" s="17">
        <v>7.39</v>
      </c>
      <c r="H20" s="17">
        <v>7.23</v>
      </c>
      <c r="I20" s="17">
        <v>6.6</v>
      </c>
      <c r="J20" s="17">
        <v>7.01</v>
      </c>
      <c r="K20" s="17">
        <v>6.59</v>
      </c>
      <c r="L20" s="17">
        <v>6.78</v>
      </c>
      <c r="M20" s="17">
        <v>6.98</v>
      </c>
      <c r="N20" s="20">
        <f t="shared" si="0"/>
        <v>7.19833333333333</v>
      </c>
    </row>
    <row r="21" spans="1:14">
      <c r="A21" s="14" t="s">
        <v>23</v>
      </c>
      <c r="B21" s="17">
        <v>6.86</v>
      </c>
      <c r="C21" s="17">
        <v>6.2</v>
      </c>
      <c r="D21" s="17">
        <v>6.54</v>
      </c>
      <c r="E21" s="17">
        <v>6.77</v>
      </c>
      <c r="F21" s="17">
        <v>6.66</v>
      </c>
      <c r="G21" s="17">
        <v>7.06</v>
      </c>
      <c r="H21" s="17">
        <v>7.1</v>
      </c>
      <c r="I21" s="17">
        <v>7.54</v>
      </c>
      <c r="J21" s="17">
        <v>7.13</v>
      </c>
      <c r="K21" s="17">
        <v>8</v>
      </c>
      <c r="L21" s="17">
        <v>7.82</v>
      </c>
      <c r="M21" s="17">
        <v>7.41</v>
      </c>
      <c r="N21" s="20">
        <f t="shared" si="0"/>
        <v>7.09083333333333</v>
      </c>
    </row>
    <row r="22" spans="1:14">
      <c r="A22" s="14" t="s">
        <v>24</v>
      </c>
      <c r="B22" s="17">
        <v>9.93</v>
      </c>
      <c r="C22" s="17">
        <v>10.18</v>
      </c>
      <c r="D22" s="17">
        <v>11.22</v>
      </c>
      <c r="E22" s="17">
        <v>8.63</v>
      </c>
      <c r="F22" s="17">
        <v>10.2</v>
      </c>
      <c r="G22" s="17">
        <v>12.37</v>
      </c>
      <c r="H22" s="17">
        <v>10.94</v>
      </c>
      <c r="I22" s="17">
        <v>9.57</v>
      </c>
      <c r="J22" s="17">
        <v>11.15</v>
      </c>
      <c r="K22" s="17">
        <v>11.24</v>
      </c>
      <c r="L22" s="17">
        <v>12.68</v>
      </c>
      <c r="M22" s="17">
        <v>12.56</v>
      </c>
      <c r="N22" s="20">
        <f t="shared" si="0"/>
        <v>10.8891666666667</v>
      </c>
    </row>
    <row r="23" spans="1:14">
      <c r="A23" s="14" t="s">
        <v>25</v>
      </c>
      <c r="B23" s="17">
        <v>7.64</v>
      </c>
      <c r="C23" s="17">
        <v>5.64</v>
      </c>
      <c r="D23" s="17">
        <v>8.16</v>
      </c>
      <c r="E23" s="17">
        <v>6.91</v>
      </c>
      <c r="F23" s="17">
        <v>8.08</v>
      </c>
      <c r="G23" s="17">
        <v>7.76</v>
      </c>
      <c r="H23" s="17">
        <v>8.57</v>
      </c>
      <c r="I23" s="17">
        <v>7.24</v>
      </c>
      <c r="J23" s="17">
        <v>5.55</v>
      </c>
      <c r="K23" s="17">
        <v>6.72</v>
      </c>
      <c r="L23" s="17">
        <v>7.37</v>
      </c>
      <c r="M23" s="17">
        <v>7.17</v>
      </c>
      <c r="N23" s="20">
        <f t="shared" si="0"/>
        <v>7.23416666666667</v>
      </c>
    </row>
    <row r="24" spans="1:14">
      <c r="A24" s="14" t="s">
        <v>26</v>
      </c>
      <c r="B24" s="17">
        <v>8.35</v>
      </c>
      <c r="C24" s="17">
        <v>6.51</v>
      </c>
      <c r="D24" s="17">
        <v>7.43</v>
      </c>
      <c r="E24" s="17">
        <v>7.47</v>
      </c>
      <c r="F24" s="17">
        <v>9.54</v>
      </c>
      <c r="G24" s="17">
        <v>15.67</v>
      </c>
      <c r="H24" s="17">
        <v>11.21</v>
      </c>
      <c r="I24" s="17">
        <v>12.56</v>
      </c>
      <c r="J24" s="17">
        <v>15.07</v>
      </c>
      <c r="K24" s="17">
        <v>13.77</v>
      </c>
      <c r="L24" s="17">
        <v>17.4</v>
      </c>
      <c r="M24" s="17">
        <v>13.27</v>
      </c>
      <c r="N24" s="20">
        <f t="shared" si="0"/>
        <v>11.5208333333333</v>
      </c>
    </row>
    <row r="25" spans="1:14">
      <c r="A25" s="14" t="s">
        <v>27</v>
      </c>
      <c r="B25" s="17">
        <v>10.64</v>
      </c>
      <c r="C25" s="17">
        <v>9.44</v>
      </c>
      <c r="D25" s="17">
        <v>10.85</v>
      </c>
      <c r="E25" s="17">
        <v>9.98</v>
      </c>
      <c r="F25" s="17">
        <v>9.89</v>
      </c>
      <c r="G25" s="17">
        <v>12.09</v>
      </c>
      <c r="H25" s="17">
        <v>10.95</v>
      </c>
      <c r="I25" s="17">
        <v>11.65</v>
      </c>
      <c r="J25" s="17">
        <v>10.41</v>
      </c>
      <c r="K25" s="17">
        <v>10.32</v>
      </c>
      <c r="L25" s="17">
        <v>10.97</v>
      </c>
      <c r="M25" s="17">
        <v>10.5</v>
      </c>
      <c r="N25" s="20">
        <f t="shared" si="0"/>
        <v>10.6408333333333</v>
      </c>
    </row>
    <row r="26" spans="1:14">
      <c r="A26" s="14" t="s">
        <v>28</v>
      </c>
      <c r="B26" s="17">
        <v>5.87</v>
      </c>
      <c r="C26" s="17">
        <v>6.08</v>
      </c>
      <c r="D26" s="17">
        <v>6.07</v>
      </c>
      <c r="E26" s="17">
        <v>5.91</v>
      </c>
      <c r="F26" s="17">
        <v>5.7</v>
      </c>
      <c r="G26" s="17">
        <v>5.53</v>
      </c>
      <c r="H26" s="17">
        <v>6.22</v>
      </c>
      <c r="I26" s="17">
        <v>5.48</v>
      </c>
      <c r="J26" s="17">
        <v>5.9</v>
      </c>
      <c r="K26" s="17">
        <v>6.24</v>
      </c>
      <c r="L26" s="17">
        <v>5.64</v>
      </c>
      <c r="M26" s="17">
        <v>6.09</v>
      </c>
      <c r="N26" s="20">
        <f t="shared" si="0"/>
        <v>5.89416666666667</v>
      </c>
    </row>
    <row r="27" spans="1:14">
      <c r="A27" s="14" t="s">
        <v>29</v>
      </c>
      <c r="B27" s="17">
        <v>2.06</v>
      </c>
      <c r="C27" s="17">
        <v>1.81</v>
      </c>
      <c r="D27" s="17">
        <v>1.69</v>
      </c>
      <c r="E27" s="17">
        <v>1.46</v>
      </c>
      <c r="F27" s="17">
        <v>1.58</v>
      </c>
      <c r="G27" s="17">
        <v>2.02</v>
      </c>
      <c r="H27" s="17">
        <v>2.19</v>
      </c>
      <c r="I27" s="17">
        <v>1.72</v>
      </c>
      <c r="J27" s="17">
        <v>1.95</v>
      </c>
      <c r="K27" s="17">
        <v>1.72</v>
      </c>
      <c r="L27" s="17">
        <v>1.55</v>
      </c>
      <c r="M27" s="17">
        <v>2.01</v>
      </c>
      <c r="N27" s="20">
        <f t="shared" si="0"/>
        <v>1.81333333333333</v>
      </c>
    </row>
    <row r="28" spans="1:14">
      <c r="A28" s="14" t="s">
        <v>30</v>
      </c>
      <c r="B28" s="17">
        <v>4.81</v>
      </c>
      <c r="C28" s="17">
        <v>4.4</v>
      </c>
      <c r="D28" s="17">
        <v>5.37</v>
      </c>
      <c r="E28" s="17">
        <v>4.27</v>
      </c>
      <c r="F28" s="17">
        <v>3.71</v>
      </c>
      <c r="G28" s="17">
        <v>4.03</v>
      </c>
      <c r="H28" s="17">
        <v>2.91</v>
      </c>
      <c r="I28" s="17">
        <v>3.19</v>
      </c>
      <c r="J28" s="17">
        <v>3.99</v>
      </c>
      <c r="K28" s="17">
        <v>4.01</v>
      </c>
      <c r="L28" s="17">
        <v>4.03</v>
      </c>
      <c r="M28" s="17">
        <v>4.36</v>
      </c>
      <c r="N28" s="20">
        <f t="shared" si="0"/>
        <v>4.09</v>
      </c>
    </row>
    <row r="29" spans="1:14">
      <c r="A29" s="14" t="s">
        <v>31</v>
      </c>
      <c r="B29" s="17">
        <v>4.62</v>
      </c>
      <c r="C29" s="17">
        <v>4.12</v>
      </c>
      <c r="D29" s="17">
        <v>4.2</v>
      </c>
      <c r="E29" s="17">
        <v>3.85</v>
      </c>
      <c r="F29" s="17">
        <v>4.08</v>
      </c>
      <c r="G29" s="17">
        <v>4.36</v>
      </c>
      <c r="H29" s="17">
        <v>4.17</v>
      </c>
      <c r="I29" s="17">
        <v>4.13</v>
      </c>
      <c r="J29" s="17">
        <v>3.96</v>
      </c>
      <c r="K29" s="17">
        <v>3.82</v>
      </c>
      <c r="L29" s="17">
        <v>4.3</v>
      </c>
      <c r="M29" s="17">
        <v>4.29</v>
      </c>
      <c r="N29" s="20">
        <f t="shared" si="0"/>
        <v>4.15833333333333</v>
      </c>
    </row>
    <row r="30" spans="1:14">
      <c r="A30" s="14" t="s">
        <v>32</v>
      </c>
      <c r="B30" s="17">
        <v>8.12</v>
      </c>
      <c r="C30" s="17">
        <v>7.28</v>
      </c>
      <c r="D30" s="17">
        <v>8.26</v>
      </c>
      <c r="E30" s="17">
        <v>7.37</v>
      </c>
      <c r="F30" s="17">
        <v>7.41</v>
      </c>
      <c r="G30" s="17">
        <v>7.47</v>
      </c>
      <c r="H30" s="17">
        <v>8.09</v>
      </c>
      <c r="I30" s="17">
        <v>8.52</v>
      </c>
      <c r="J30" s="17">
        <v>8.18</v>
      </c>
      <c r="K30" s="17">
        <v>8.99</v>
      </c>
      <c r="L30" s="17">
        <v>8.34</v>
      </c>
      <c r="M30" s="17">
        <v>7.84</v>
      </c>
      <c r="N30" s="20">
        <f t="shared" si="0"/>
        <v>7.98916666666667</v>
      </c>
    </row>
    <row r="31" spans="1:14">
      <c r="A31" s="14" t="s">
        <v>33</v>
      </c>
      <c r="B31" s="17">
        <v>5.22</v>
      </c>
      <c r="C31" s="17">
        <v>4.97</v>
      </c>
      <c r="D31" s="17">
        <v>4.98</v>
      </c>
      <c r="E31" s="17">
        <v>4.66</v>
      </c>
      <c r="F31" s="17">
        <v>5.07</v>
      </c>
      <c r="G31" s="17">
        <v>5.14</v>
      </c>
      <c r="H31" s="17">
        <v>5.55</v>
      </c>
      <c r="I31" s="17">
        <v>5.19</v>
      </c>
      <c r="J31" s="17">
        <v>6.42</v>
      </c>
      <c r="K31" s="17">
        <v>5.74</v>
      </c>
      <c r="L31" s="17">
        <v>5.77</v>
      </c>
      <c r="M31" s="17">
        <v>5.74</v>
      </c>
      <c r="N31" s="20">
        <f t="shared" si="0"/>
        <v>5.37083333333333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S70"/>
  <sheetViews>
    <sheetView topLeftCell="A48" workbookViewId="0">
      <selection activeCell="D41" sqref="D41:AM70"/>
    </sheetView>
  </sheetViews>
  <sheetFormatPr defaultColWidth="8.89189189189189" defaultRowHeight="14.1"/>
  <cols>
    <col min="1" max="1" width="20.5585585585586" style="1" customWidth="1"/>
    <col min="2" max="2" width="7.40540540540541" style="2" customWidth="1"/>
    <col min="3" max="3" width="9.18918918918919" style="5" customWidth="1"/>
    <col min="4" max="5" width="10.5495495495495" style="3" customWidth="1"/>
    <col min="6" max="9" width="8.46846846846847" style="3" customWidth="1"/>
    <col min="10" max="10" width="10.5495495495495" style="3" customWidth="1"/>
    <col min="11" max="11" width="9.46846846846847" style="3" customWidth="1"/>
    <col min="12" max="12" width="8.16216216216216" style="3" customWidth="1"/>
    <col min="13" max="13" width="8.46846846846847" style="3" customWidth="1"/>
    <col min="14" max="15" width="9.46846846846847" style="3" customWidth="1"/>
    <col min="16" max="16" width="10.5495495495495" style="3" customWidth="1"/>
    <col min="17" max="17" width="8.46846846846847" style="3" customWidth="1"/>
    <col min="18" max="18" width="10.5495495495495" style="3" customWidth="1"/>
    <col min="19" max="39" width="8.16216216216216" style="3" customWidth="1"/>
    <col min="40" max="16233" width="8.89189189189189" style="3"/>
    <col min="16234" max="16384" width="8.89189189189189" style="4"/>
  </cols>
  <sheetData>
    <row r="1" ht="14.15" spans="1:175">
      <c r="A1" s="1" t="s">
        <v>37</v>
      </c>
      <c r="B1" s="5" t="s">
        <v>38</v>
      </c>
      <c r="C1" s="7" t="s">
        <v>39</v>
      </c>
      <c r="D1" s="7" t="s">
        <v>2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175">
      <c r="B2" s="5"/>
      <c r="C2" s="7"/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  <c r="I2" s="8" t="s">
        <v>45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50</v>
      </c>
      <c r="O2" s="8" t="s">
        <v>51</v>
      </c>
      <c r="P2" s="8" t="s">
        <v>52</v>
      </c>
      <c r="Q2" s="8" t="s">
        <v>53</v>
      </c>
      <c r="R2" s="8" t="s">
        <v>54</v>
      </c>
      <c r="S2" s="8" t="s">
        <v>55</v>
      </c>
      <c r="T2" s="8" t="s">
        <v>56</v>
      </c>
      <c r="U2" s="8" t="s">
        <v>57</v>
      </c>
      <c r="V2" s="8" t="s">
        <v>58</v>
      </c>
      <c r="W2" s="8" t="s">
        <v>59</v>
      </c>
      <c r="X2" s="8" t="s">
        <v>60</v>
      </c>
      <c r="Y2" s="8" t="s">
        <v>61</v>
      </c>
      <c r="Z2" s="8" t="s">
        <v>62</v>
      </c>
      <c r="AA2" s="8" t="s">
        <v>63</v>
      </c>
      <c r="AB2" s="8" t="s">
        <v>64</v>
      </c>
      <c r="AC2" s="8" t="s">
        <v>65</v>
      </c>
      <c r="AD2" s="8" t="s">
        <v>66</v>
      </c>
      <c r="AE2" s="8" t="s">
        <v>67</v>
      </c>
      <c r="AF2" s="8" t="s">
        <v>68</v>
      </c>
      <c r="AG2" s="8" t="s">
        <v>69</v>
      </c>
      <c r="AH2" s="8" t="s">
        <v>70</v>
      </c>
      <c r="AI2" s="8" t="s">
        <v>71</v>
      </c>
      <c r="AJ2" s="8" t="s">
        <v>72</v>
      </c>
      <c r="AK2" s="8" t="s">
        <v>73</v>
      </c>
      <c r="AL2" s="8" t="s">
        <v>74</v>
      </c>
      <c r="AM2" s="8" t="s">
        <v>75</v>
      </c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</row>
    <row r="3" ht="14.15" spans="1:175">
      <c r="A3" s="1" t="s">
        <v>76</v>
      </c>
      <c r="B3" s="2">
        <v>175</v>
      </c>
      <c r="C3" s="12">
        <v>5250</v>
      </c>
      <c r="D3" s="10">
        <v>70.62</v>
      </c>
      <c r="E3" s="10">
        <v>110.65</v>
      </c>
      <c r="F3" s="10">
        <v>105</v>
      </c>
      <c r="G3" s="10">
        <v>93.98</v>
      </c>
      <c r="H3" s="10">
        <v>89.44</v>
      </c>
      <c r="I3" s="10">
        <v>80.86</v>
      </c>
      <c r="J3" s="10">
        <v>62.05</v>
      </c>
      <c r="K3" s="10">
        <v>66.82</v>
      </c>
      <c r="L3" s="10">
        <v>71.68</v>
      </c>
      <c r="M3" s="10">
        <v>80.96</v>
      </c>
      <c r="N3" s="10">
        <v>98.65</v>
      </c>
      <c r="O3" s="10">
        <v>87.82</v>
      </c>
      <c r="P3" s="10">
        <v>92.65</v>
      </c>
      <c r="Q3" s="10">
        <v>53.12</v>
      </c>
      <c r="R3" s="10">
        <v>103.37</v>
      </c>
      <c r="S3" s="10">
        <v>88.84</v>
      </c>
      <c r="T3" s="10">
        <v>81.82</v>
      </c>
      <c r="U3" s="10">
        <v>72.63</v>
      </c>
      <c r="V3" s="10">
        <v>59.17</v>
      </c>
      <c r="W3" s="10">
        <v>69.12</v>
      </c>
      <c r="X3" s="10">
        <v>74.34</v>
      </c>
      <c r="Y3" s="10">
        <v>85.03</v>
      </c>
      <c r="Z3" s="10">
        <v>99.96</v>
      </c>
      <c r="AA3" s="10">
        <v>98.9</v>
      </c>
      <c r="AB3" s="10">
        <v>72.9</v>
      </c>
      <c r="AC3" s="10">
        <v>92.96</v>
      </c>
      <c r="AD3" s="10">
        <v>95.34</v>
      </c>
      <c r="AE3" s="10">
        <v>77.64</v>
      </c>
      <c r="AF3" s="10">
        <v>73.22</v>
      </c>
      <c r="AG3" s="10">
        <v>74.36</v>
      </c>
      <c r="AH3" s="10">
        <v>72</v>
      </c>
      <c r="AI3" s="10">
        <v>66.64</v>
      </c>
      <c r="AJ3" s="10">
        <v>81.33</v>
      </c>
      <c r="AK3" s="10">
        <v>82.23</v>
      </c>
      <c r="AL3" s="10">
        <v>94.61</v>
      </c>
      <c r="AM3" s="10">
        <v>93.07</v>
      </c>
    </row>
    <row r="4" ht="14.15" spans="1:175">
      <c r="A4" s="1" t="s">
        <v>77</v>
      </c>
      <c r="B4" s="2">
        <v>127</v>
      </c>
      <c r="C4" s="12">
        <v>3810</v>
      </c>
      <c r="D4" s="10">
        <v>95.48</v>
      </c>
      <c r="E4" s="10">
        <v>110.8</v>
      </c>
      <c r="F4" s="10">
        <v>108.99</v>
      </c>
      <c r="G4" s="10">
        <v>107.06</v>
      </c>
      <c r="H4" s="10">
        <v>105.24</v>
      </c>
      <c r="I4" s="10">
        <v>91.02</v>
      </c>
      <c r="J4" s="10">
        <v>97.74</v>
      </c>
      <c r="K4" s="10">
        <v>96.9</v>
      </c>
      <c r="L4" s="10">
        <v>95.3</v>
      </c>
      <c r="M4" s="10">
        <v>92.05</v>
      </c>
      <c r="N4" s="10">
        <v>97.45</v>
      </c>
      <c r="O4" s="10">
        <v>97.69</v>
      </c>
      <c r="P4" s="10">
        <v>98.86</v>
      </c>
      <c r="Q4" s="10">
        <v>86.8</v>
      </c>
      <c r="R4" s="10">
        <v>99.49</v>
      </c>
      <c r="S4" s="10">
        <v>98.9</v>
      </c>
      <c r="T4" s="10">
        <v>97.28</v>
      </c>
      <c r="U4" s="10">
        <v>98.37</v>
      </c>
      <c r="V4" s="10">
        <v>98.7</v>
      </c>
      <c r="W4" s="10">
        <v>97.61</v>
      </c>
      <c r="X4" s="10">
        <v>97.22</v>
      </c>
      <c r="Y4" s="10">
        <v>95.58</v>
      </c>
      <c r="Z4" s="10">
        <v>98.19</v>
      </c>
      <c r="AA4" s="10">
        <v>98.5</v>
      </c>
      <c r="AB4" s="10">
        <v>91.31</v>
      </c>
      <c r="AC4" s="10">
        <v>93.22</v>
      </c>
      <c r="AD4" s="10">
        <v>98.12</v>
      </c>
      <c r="AE4" s="10">
        <v>96.14</v>
      </c>
      <c r="AF4" s="10">
        <v>95</v>
      </c>
      <c r="AG4" s="10">
        <v>99.37</v>
      </c>
      <c r="AH4" s="10">
        <v>99.03</v>
      </c>
      <c r="AI4" s="10">
        <v>98.78</v>
      </c>
      <c r="AJ4" s="10">
        <v>98.85</v>
      </c>
      <c r="AK4" s="10">
        <v>97.16</v>
      </c>
      <c r="AL4" s="10">
        <v>99.82</v>
      </c>
      <c r="AM4" s="10">
        <v>98.53</v>
      </c>
    </row>
    <row r="5" ht="14.15" spans="1:175">
      <c r="A5" s="1" t="s">
        <v>78</v>
      </c>
      <c r="B5" s="2">
        <v>100</v>
      </c>
      <c r="C5" s="12">
        <v>3000</v>
      </c>
      <c r="D5" s="10">
        <v>103.53</v>
      </c>
      <c r="E5" s="10">
        <v>128.99</v>
      </c>
      <c r="F5" s="10">
        <v>137.97</v>
      </c>
      <c r="G5" s="10">
        <v>137.7</v>
      </c>
      <c r="H5" s="10">
        <v>137.7</v>
      </c>
      <c r="I5" s="10">
        <v>137.92</v>
      </c>
      <c r="J5" s="10">
        <v>139.24</v>
      </c>
      <c r="K5" s="10">
        <v>140.35</v>
      </c>
      <c r="L5" s="10">
        <v>103.1</v>
      </c>
      <c r="M5" s="10">
        <v>101.1</v>
      </c>
      <c r="N5" s="10">
        <v>110.33</v>
      </c>
      <c r="O5" s="10">
        <v>107.23</v>
      </c>
      <c r="P5" s="10">
        <v>106.55</v>
      </c>
      <c r="Q5" s="10">
        <v>74.59</v>
      </c>
      <c r="R5" s="10">
        <v>108.61</v>
      </c>
      <c r="S5" s="10">
        <v>108.23</v>
      </c>
      <c r="T5" s="10">
        <v>101.1</v>
      </c>
      <c r="U5" s="10">
        <v>98.37</v>
      </c>
      <c r="V5" s="10">
        <v>108.81</v>
      </c>
      <c r="W5" s="10">
        <v>107.65</v>
      </c>
      <c r="X5" s="10">
        <v>107.93</v>
      </c>
      <c r="Y5" s="10">
        <v>104.32</v>
      </c>
      <c r="Z5" s="10">
        <v>112.2</v>
      </c>
      <c r="AA5" s="10">
        <v>110.4</v>
      </c>
      <c r="AB5" s="10">
        <v>93.23</v>
      </c>
      <c r="AC5" s="10">
        <v>103.75</v>
      </c>
      <c r="AD5" s="10">
        <v>95.81</v>
      </c>
      <c r="AE5" s="10">
        <v>103.03</v>
      </c>
      <c r="AF5" s="10">
        <v>99.68</v>
      </c>
      <c r="AG5" s="10">
        <v>105.57</v>
      </c>
      <c r="AH5" s="10">
        <v>110.39</v>
      </c>
      <c r="AI5" s="10">
        <v>109.61</v>
      </c>
      <c r="AJ5" s="10">
        <v>112.03</v>
      </c>
      <c r="AK5" s="10">
        <v>104.42</v>
      </c>
      <c r="AL5" s="10">
        <v>114.87</v>
      </c>
      <c r="AM5" s="10">
        <v>111.03</v>
      </c>
    </row>
    <row r="6" ht="14.15" spans="1:175">
      <c r="A6" s="1" t="s">
        <v>79</v>
      </c>
      <c r="B6" s="2">
        <v>164</v>
      </c>
      <c r="C6" s="12">
        <v>4920</v>
      </c>
      <c r="D6" s="10">
        <v>86.31</v>
      </c>
      <c r="E6" s="10">
        <v>100.09</v>
      </c>
      <c r="F6" s="10">
        <v>99.35</v>
      </c>
      <c r="G6" s="10">
        <v>95.41</v>
      </c>
      <c r="H6" s="10">
        <v>94.35</v>
      </c>
      <c r="I6" s="10">
        <v>96.87</v>
      </c>
      <c r="J6" s="10">
        <v>95.89</v>
      </c>
      <c r="K6" s="10">
        <v>94.12</v>
      </c>
      <c r="L6" s="10">
        <v>88.05</v>
      </c>
      <c r="M6" s="10">
        <v>86.61</v>
      </c>
      <c r="N6" s="10">
        <v>97.99</v>
      </c>
      <c r="O6" s="10">
        <v>99.84</v>
      </c>
      <c r="P6" s="10">
        <v>100.61</v>
      </c>
      <c r="Q6" s="10">
        <v>81.1</v>
      </c>
      <c r="R6" s="10">
        <v>99.88</v>
      </c>
      <c r="S6" s="10">
        <v>99</v>
      </c>
      <c r="T6" s="10">
        <v>97.32</v>
      </c>
      <c r="U6" s="10">
        <v>97.07</v>
      </c>
      <c r="V6" s="10">
        <v>98.05</v>
      </c>
      <c r="W6" s="10">
        <v>97.9</v>
      </c>
      <c r="X6" s="10">
        <v>94.84</v>
      </c>
      <c r="Y6" s="10">
        <v>72.06</v>
      </c>
      <c r="Z6" s="10">
        <v>80.61</v>
      </c>
      <c r="AA6" s="10">
        <v>101.5</v>
      </c>
      <c r="AB6" s="10">
        <v>89.71</v>
      </c>
      <c r="AC6" s="10">
        <v>93.71</v>
      </c>
      <c r="AD6" s="10">
        <v>93.82</v>
      </c>
      <c r="AE6" s="10">
        <v>94.11</v>
      </c>
      <c r="AF6" s="10">
        <v>94.73</v>
      </c>
      <c r="AG6" s="10">
        <v>96.93</v>
      </c>
      <c r="AH6" s="10">
        <v>96.16</v>
      </c>
      <c r="AI6" s="10">
        <v>95.28</v>
      </c>
      <c r="AJ6" s="10">
        <v>96.83</v>
      </c>
      <c r="AK6" s="10">
        <v>93.15</v>
      </c>
      <c r="AL6" s="10">
        <v>101.52</v>
      </c>
      <c r="AM6" s="10">
        <v>101.48</v>
      </c>
    </row>
    <row r="7" ht="14.15" spans="1:175">
      <c r="A7" s="1" t="s">
        <v>80</v>
      </c>
      <c r="B7" s="2">
        <v>97</v>
      </c>
      <c r="C7" s="12">
        <v>2910</v>
      </c>
      <c r="D7" s="10">
        <v>102.91</v>
      </c>
      <c r="E7" s="10">
        <v>148.21</v>
      </c>
      <c r="F7" s="10">
        <v>147.67</v>
      </c>
      <c r="G7" s="10">
        <v>141.57</v>
      </c>
      <c r="H7" s="10">
        <v>133.78</v>
      </c>
      <c r="I7" s="10">
        <v>131.16</v>
      </c>
      <c r="J7" s="10">
        <v>126.35</v>
      </c>
      <c r="K7" s="10">
        <v>110.61</v>
      </c>
      <c r="L7" s="10">
        <v>105.26</v>
      </c>
      <c r="M7" s="10">
        <v>96.57</v>
      </c>
      <c r="N7" s="10">
        <v>106.53</v>
      </c>
      <c r="O7" s="10">
        <v>108.31</v>
      </c>
      <c r="P7" s="10">
        <v>111.77</v>
      </c>
      <c r="Q7" s="10">
        <v>80.34</v>
      </c>
      <c r="R7" s="10">
        <v>122.35</v>
      </c>
      <c r="S7" s="10">
        <v>114.33</v>
      </c>
      <c r="T7" s="10">
        <v>113.34</v>
      </c>
      <c r="U7" s="10">
        <v>114.64</v>
      </c>
      <c r="V7" s="10">
        <v>119.85</v>
      </c>
      <c r="W7" s="10">
        <v>120.52</v>
      </c>
      <c r="X7" s="10">
        <v>115.02</v>
      </c>
      <c r="Y7" s="10">
        <v>111.14</v>
      </c>
      <c r="Z7" s="10">
        <v>120.76</v>
      </c>
      <c r="AA7" s="10">
        <v>119.4</v>
      </c>
      <c r="AB7" s="10">
        <v>88.63</v>
      </c>
      <c r="AC7" s="10">
        <v>112.41</v>
      </c>
      <c r="AD7" s="10">
        <v>106.05</v>
      </c>
      <c r="AE7" s="10">
        <v>108.14</v>
      </c>
      <c r="AF7" s="10">
        <v>101.6</v>
      </c>
      <c r="AG7" s="10">
        <v>108.42</v>
      </c>
      <c r="AH7" s="10">
        <v>111.24</v>
      </c>
      <c r="AI7" s="10">
        <v>106.39</v>
      </c>
      <c r="AJ7" s="10">
        <v>112.54</v>
      </c>
      <c r="AK7" s="10">
        <v>101.5</v>
      </c>
      <c r="AL7" s="10">
        <v>119.79</v>
      </c>
      <c r="AM7" s="10">
        <v>118.46</v>
      </c>
    </row>
    <row r="8" ht="14.15" spans="1:175">
      <c r="A8" s="1" t="s">
        <v>81</v>
      </c>
      <c r="B8" s="2">
        <v>57</v>
      </c>
      <c r="C8" s="12">
        <v>1710</v>
      </c>
      <c r="D8" s="10">
        <v>51.9</v>
      </c>
      <c r="E8" s="10">
        <v>104.82</v>
      </c>
      <c r="F8" s="10">
        <v>112.39</v>
      </c>
      <c r="G8" s="10">
        <v>92.81</v>
      </c>
      <c r="H8" s="10">
        <v>97.85</v>
      </c>
      <c r="I8" s="10">
        <v>94.27</v>
      </c>
      <c r="J8" s="10">
        <v>98.25</v>
      </c>
      <c r="K8" s="10">
        <v>85.17</v>
      </c>
      <c r="L8" s="10">
        <v>86.67</v>
      </c>
      <c r="M8" s="10">
        <v>81.44</v>
      </c>
      <c r="N8" s="10">
        <v>98.48</v>
      </c>
      <c r="O8" s="10">
        <v>79.12</v>
      </c>
      <c r="P8" s="10">
        <v>84.95</v>
      </c>
      <c r="Q8" s="10">
        <v>42.29</v>
      </c>
      <c r="R8" s="10">
        <v>97.23</v>
      </c>
      <c r="S8" s="10">
        <v>84.33</v>
      </c>
      <c r="T8" s="10">
        <v>82.06</v>
      </c>
      <c r="U8" s="10">
        <v>75.61</v>
      </c>
      <c r="V8" s="10">
        <v>77.65</v>
      </c>
      <c r="W8" s="10">
        <v>65.14</v>
      </c>
      <c r="X8" s="10">
        <v>75.73</v>
      </c>
      <c r="Y8" s="10">
        <v>79.45</v>
      </c>
      <c r="Z8" s="10">
        <v>95.09</v>
      </c>
      <c r="AA8" s="10">
        <v>98.1</v>
      </c>
      <c r="AB8" s="10">
        <v>69.61</v>
      </c>
      <c r="AC8" s="10">
        <v>78.32</v>
      </c>
      <c r="AD8" s="10">
        <v>79.29</v>
      </c>
      <c r="AE8" s="10">
        <v>72.63</v>
      </c>
      <c r="AF8" s="10">
        <v>71.02</v>
      </c>
      <c r="AG8" s="10">
        <v>74.8</v>
      </c>
      <c r="AH8" s="10">
        <v>71.93</v>
      </c>
      <c r="AI8" s="10">
        <v>72.27</v>
      </c>
      <c r="AJ8" s="10">
        <v>82.05</v>
      </c>
      <c r="AK8" s="10">
        <v>69.44</v>
      </c>
      <c r="AL8" s="10">
        <v>90.58</v>
      </c>
      <c r="AM8" s="10">
        <v>82.68</v>
      </c>
    </row>
    <row r="9" ht="15.4" spans="1:175">
      <c r="A9" s="1" t="s">
        <v>82</v>
      </c>
      <c r="B9" s="11">
        <v>60</v>
      </c>
      <c r="C9" s="12">
        <v>1800</v>
      </c>
      <c r="D9" s="10">
        <v>94.38</v>
      </c>
      <c r="E9" s="10">
        <v>144.9</v>
      </c>
      <c r="F9" s="10">
        <v>150.14</v>
      </c>
      <c r="G9" s="10">
        <v>151.52</v>
      </c>
      <c r="H9" s="10">
        <v>166.08</v>
      </c>
      <c r="I9" s="10">
        <v>173.49</v>
      </c>
      <c r="J9" s="10">
        <v>188.88</v>
      </c>
      <c r="K9" s="10">
        <v>180.31</v>
      </c>
      <c r="L9" s="10">
        <v>175.88</v>
      </c>
      <c r="M9" s="10">
        <v>169.35</v>
      </c>
      <c r="N9" s="10">
        <v>172.62</v>
      </c>
      <c r="O9" s="10">
        <v>165.02</v>
      </c>
      <c r="P9" s="10">
        <v>181.58</v>
      </c>
      <c r="Q9" s="10">
        <v>127.36</v>
      </c>
      <c r="R9" s="10">
        <v>179.64</v>
      </c>
      <c r="S9" s="10">
        <v>120.78</v>
      </c>
      <c r="T9" s="10">
        <v>110.27</v>
      </c>
      <c r="U9" s="10">
        <v>123.17</v>
      </c>
      <c r="V9" s="10">
        <v>123.92</v>
      </c>
      <c r="W9" s="10">
        <v>98.39</v>
      </c>
      <c r="X9" s="10">
        <v>112.72</v>
      </c>
      <c r="Y9" s="10">
        <v>118.54</v>
      </c>
      <c r="Z9" s="10">
        <v>135.17</v>
      </c>
      <c r="AA9" s="10">
        <v>138.9</v>
      </c>
      <c r="AB9" s="10">
        <v>102.31</v>
      </c>
      <c r="AC9" s="10">
        <v>126.01</v>
      </c>
      <c r="AD9" s="10">
        <v>102.74</v>
      </c>
      <c r="AE9" s="10">
        <v>113.39</v>
      </c>
      <c r="AF9" s="10">
        <v>106.88</v>
      </c>
      <c r="AG9" s="10">
        <v>107.56</v>
      </c>
      <c r="AH9" s="10">
        <v>127.74</v>
      </c>
      <c r="AI9" s="10">
        <v>115.75</v>
      </c>
      <c r="AJ9" s="10">
        <v>113.11</v>
      </c>
      <c r="AK9" s="10">
        <v>110.43</v>
      </c>
      <c r="AL9" s="10">
        <v>121.22</v>
      </c>
      <c r="AM9" s="10">
        <v>124.52</v>
      </c>
    </row>
    <row r="10" ht="14.15" spans="1:175">
      <c r="A10" s="1" t="s">
        <v>83</v>
      </c>
      <c r="B10" s="2">
        <v>40</v>
      </c>
      <c r="C10" s="12">
        <v>1200</v>
      </c>
      <c r="D10" s="10">
        <v>69.92</v>
      </c>
      <c r="E10" s="10">
        <v>119.11</v>
      </c>
      <c r="F10" s="10">
        <v>113.95</v>
      </c>
      <c r="G10" s="10">
        <v>114.83</v>
      </c>
      <c r="H10" s="10">
        <v>113.15</v>
      </c>
      <c r="I10" s="10">
        <v>116.83</v>
      </c>
      <c r="J10" s="10">
        <v>114.44</v>
      </c>
      <c r="K10" s="10">
        <v>117.1</v>
      </c>
      <c r="L10" s="10">
        <v>118.83</v>
      </c>
      <c r="M10" s="10">
        <v>115.4</v>
      </c>
      <c r="N10" s="10">
        <v>125.42</v>
      </c>
      <c r="O10" s="10">
        <v>120.24</v>
      </c>
      <c r="P10" s="10">
        <v>125.08</v>
      </c>
      <c r="Q10" s="10">
        <v>76.9</v>
      </c>
      <c r="R10" s="10">
        <v>122.98</v>
      </c>
      <c r="S10" s="10">
        <v>123.25</v>
      </c>
      <c r="T10" s="10">
        <v>118.06</v>
      </c>
      <c r="U10" s="10">
        <v>115.42</v>
      </c>
      <c r="V10" s="10">
        <v>124.92</v>
      </c>
      <c r="W10" s="10">
        <v>120.24</v>
      </c>
      <c r="X10" s="10">
        <v>110.25</v>
      </c>
      <c r="Y10" s="10">
        <v>104.75</v>
      </c>
      <c r="Z10" s="10">
        <v>121</v>
      </c>
      <c r="AA10" s="10">
        <v>126.5</v>
      </c>
      <c r="AB10" s="10">
        <v>94.6</v>
      </c>
      <c r="AC10" s="10">
        <v>106.43</v>
      </c>
      <c r="AD10" s="10">
        <v>114.44</v>
      </c>
      <c r="AE10" s="10">
        <v>116.17</v>
      </c>
      <c r="AF10" s="10">
        <v>104.92</v>
      </c>
      <c r="AG10" s="10">
        <v>119.5</v>
      </c>
      <c r="AH10" s="10">
        <v>122.02</v>
      </c>
      <c r="AI10" s="10">
        <v>129.35</v>
      </c>
      <c r="AJ10" s="10">
        <v>124.83</v>
      </c>
      <c r="AK10" s="10">
        <v>102.82</v>
      </c>
      <c r="AL10" s="10">
        <v>142.5</v>
      </c>
      <c r="AM10" s="10">
        <v>134.11</v>
      </c>
    </row>
    <row r="11" ht="14.15" spans="1:175">
      <c r="A11" s="1" t="s">
        <v>84</v>
      </c>
      <c r="B11" s="2">
        <v>35</v>
      </c>
      <c r="C11" s="12">
        <v>1050</v>
      </c>
      <c r="D11" s="10">
        <v>69.46</v>
      </c>
      <c r="E11" s="10">
        <v>117.74</v>
      </c>
      <c r="F11" s="10">
        <v>114.95</v>
      </c>
      <c r="G11" s="10">
        <v>111.44</v>
      </c>
      <c r="H11" s="10">
        <v>106.45</v>
      </c>
      <c r="I11" s="10">
        <v>93.69</v>
      </c>
      <c r="J11" s="10">
        <v>99.54</v>
      </c>
      <c r="K11" s="10">
        <v>87.1</v>
      </c>
      <c r="L11" s="10">
        <v>82.57</v>
      </c>
      <c r="M11" s="10">
        <v>72.72</v>
      </c>
      <c r="N11" s="10">
        <v>106</v>
      </c>
      <c r="O11" s="10">
        <v>97.79</v>
      </c>
      <c r="P11" s="10">
        <v>108.76</v>
      </c>
      <c r="Q11" s="10">
        <v>68.28</v>
      </c>
      <c r="R11" s="10">
        <v>116.5</v>
      </c>
      <c r="S11" s="10">
        <v>110.48</v>
      </c>
      <c r="T11" s="10">
        <v>104.06</v>
      </c>
      <c r="U11" s="10">
        <v>113.62</v>
      </c>
      <c r="V11" s="10">
        <v>114.01</v>
      </c>
      <c r="W11" s="10">
        <v>109.77</v>
      </c>
      <c r="X11" s="10">
        <v>90.29</v>
      </c>
      <c r="Y11" s="10">
        <v>95.11</v>
      </c>
      <c r="Z11" s="10">
        <v>113.71</v>
      </c>
      <c r="AA11" s="10">
        <v>113.3</v>
      </c>
      <c r="AB11" s="10">
        <v>84.15</v>
      </c>
      <c r="AC11" s="10">
        <v>99.18</v>
      </c>
      <c r="AD11" s="10">
        <v>98.25</v>
      </c>
      <c r="AE11" s="10">
        <v>110.57</v>
      </c>
      <c r="AF11" s="10">
        <v>101.2</v>
      </c>
      <c r="AG11" s="10">
        <v>103.9</v>
      </c>
      <c r="AH11" s="10">
        <v>110.32</v>
      </c>
      <c r="AI11" s="10">
        <v>104.7</v>
      </c>
      <c r="AJ11" s="10">
        <v>106.95</v>
      </c>
      <c r="AK11" s="10">
        <v>90.69</v>
      </c>
      <c r="AL11" s="10">
        <v>107.62</v>
      </c>
      <c r="AM11" s="10">
        <v>113.73</v>
      </c>
    </row>
    <row r="12" ht="14.15" spans="1:175">
      <c r="A12" s="1" t="s">
        <v>85</v>
      </c>
      <c r="B12" s="2">
        <v>45</v>
      </c>
      <c r="C12" s="12">
        <v>1350</v>
      </c>
      <c r="D12" s="10">
        <v>70.18</v>
      </c>
      <c r="E12" s="10">
        <v>101.35</v>
      </c>
      <c r="F12" s="10">
        <v>97.42</v>
      </c>
      <c r="G12" s="10">
        <v>91.78</v>
      </c>
      <c r="H12" s="10">
        <v>79.93</v>
      </c>
      <c r="I12" s="10">
        <v>82.96</v>
      </c>
      <c r="J12" s="10">
        <v>86.45</v>
      </c>
      <c r="K12" s="10">
        <v>87.67</v>
      </c>
      <c r="L12" s="10">
        <v>78</v>
      </c>
      <c r="M12" s="10">
        <v>81.94</v>
      </c>
      <c r="N12" s="10">
        <v>90</v>
      </c>
      <c r="O12" s="10">
        <v>84.23</v>
      </c>
      <c r="P12" s="10">
        <v>78.71</v>
      </c>
      <c r="Q12" s="10">
        <v>54.48</v>
      </c>
      <c r="R12" s="10">
        <v>96.06</v>
      </c>
      <c r="S12" s="10">
        <v>88.81</v>
      </c>
      <c r="T12" s="10">
        <v>95.41</v>
      </c>
      <c r="U12" s="10">
        <v>108.07</v>
      </c>
      <c r="V12" s="10">
        <v>119.07</v>
      </c>
      <c r="W12" s="10">
        <v>114.91</v>
      </c>
      <c r="X12" s="10">
        <v>98.81</v>
      </c>
      <c r="Y12" s="10">
        <v>89.74</v>
      </c>
      <c r="Z12" s="10">
        <v>110.3</v>
      </c>
      <c r="AA12" s="10">
        <v>105.3</v>
      </c>
      <c r="AB12" s="10">
        <v>87.31</v>
      </c>
      <c r="AC12" s="10">
        <v>98.25</v>
      </c>
      <c r="AD12" s="10">
        <v>91.22</v>
      </c>
      <c r="AE12" s="10">
        <v>92.52</v>
      </c>
      <c r="AF12" s="10">
        <v>76.99</v>
      </c>
      <c r="AG12" s="10">
        <v>80.44</v>
      </c>
      <c r="AH12" s="10">
        <v>101.43</v>
      </c>
      <c r="AI12" s="10">
        <v>67.67</v>
      </c>
      <c r="AJ12" s="10">
        <v>82.59</v>
      </c>
      <c r="AK12" s="10">
        <v>73.62</v>
      </c>
      <c r="AL12" s="10">
        <v>93.85</v>
      </c>
      <c r="AM12" s="10">
        <v>96.99</v>
      </c>
    </row>
    <row r="13" ht="14.15" spans="1:175">
      <c r="A13" s="1" t="s">
        <v>86</v>
      </c>
      <c r="B13" s="2">
        <v>45</v>
      </c>
      <c r="C13" s="12">
        <v>1350</v>
      </c>
      <c r="D13" s="10">
        <v>63.8</v>
      </c>
      <c r="E13" s="10">
        <v>118.41</v>
      </c>
      <c r="F13" s="10">
        <v>109.03</v>
      </c>
      <c r="G13" s="10">
        <v>94</v>
      </c>
      <c r="H13" s="10">
        <v>82.15</v>
      </c>
      <c r="I13" s="10">
        <v>89.11</v>
      </c>
      <c r="J13" s="10">
        <v>84.95</v>
      </c>
      <c r="K13" s="10">
        <v>94.05</v>
      </c>
      <c r="L13" s="10">
        <v>81.85</v>
      </c>
      <c r="M13" s="10">
        <v>91.9</v>
      </c>
      <c r="N13" s="10">
        <v>83.26</v>
      </c>
      <c r="O13" s="10">
        <v>76.56</v>
      </c>
      <c r="P13" s="10">
        <v>73.76</v>
      </c>
      <c r="Q13" s="10">
        <v>46.28</v>
      </c>
      <c r="R13" s="10">
        <v>96.56</v>
      </c>
      <c r="S13" s="10">
        <v>91.48</v>
      </c>
      <c r="T13" s="10">
        <v>94.48</v>
      </c>
      <c r="U13" s="10">
        <v>77.11</v>
      </c>
      <c r="V13" s="10">
        <v>103.44</v>
      </c>
      <c r="W13" s="10">
        <v>101.58</v>
      </c>
      <c r="X13" s="10">
        <v>87.78</v>
      </c>
      <c r="Y13" s="10">
        <v>95.91</v>
      </c>
      <c r="Z13" s="10">
        <v>97.04</v>
      </c>
      <c r="AA13" s="10">
        <v>105.7</v>
      </c>
      <c r="AB13" s="10">
        <v>91.97</v>
      </c>
      <c r="AC13" s="10">
        <v>81.98</v>
      </c>
      <c r="AD13" s="10">
        <v>90.18</v>
      </c>
      <c r="AE13" s="10">
        <v>93.41</v>
      </c>
      <c r="AF13" s="10">
        <v>83.01</v>
      </c>
      <c r="AG13" s="10">
        <v>84.81</v>
      </c>
      <c r="AH13" s="10">
        <v>87.81</v>
      </c>
      <c r="AI13" s="10">
        <v>86.45</v>
      </c>
      <c r="AJ13" s="10">
        <v>71.93</v>
      </c>
      <c r="AK13" s="10">
        <v>73.91</v>
      </c>
      <c r="AL13" s="10">
        <v>79.41</v>
      </c>
      <c r="AM13" s="10">
        <v>94.93</v>
      </c>
    </row>
    <row r="14" ht="14.15" spans="1:175">
      <c r="A14" s="1" t="s">
        <v>87</v>
      </c>
      <c r="B14" s="2">
        <v>34</v>
      </c>
      <c r="C14" s="12">
        <v>1020</v>
      </c>
      <c r="D14" s="10">
        <v>77.51</v>
      </c>
      <c r="E14" s="10">
        <v>121.85</v>
      </c>
      <c r="F14" s="10">
        <v>105.88</v>
      </c>
      <c r="G14" s="10">
        <v>114.31</v>
      </c>
      <c r="H14" s="10">
        <v>100</v>
      </c>
      <c r="I14" s="10">
        <v>97.16</v>
      </c>
      <c r="J14" s="10">
        <v>120.68</v>
      </c>
      <c r="K14" s="10">
        <v>105.88</v>
      </c>
      <c r="L14" s="10">
        <v>77.75</v>
      </c>
      <c r="M14" s="10">
        <v>102.75</v>
      </c>
      <c r="N14" s="10">
        <v>108.63</v>
      </c>
      <c r="O14" s="10">
        <v>97.82</v>
      </c>
      <c r="P14" s="10">
        <v>104.46</v>
      </c>
      <c r="Q14" s="10">
        <v>75.25</v>
      </c>
      <c r="R14" s="10">
        <v>117.08</v>
      </c>
      <c r="S14" s="10">
        <v>112.25</v>
      </c>
      <c r="T14" s="10">
        <v>90.53</v>
      </c>
      <c r="U14" s="10">
        <v>112.55</v>
      </c>
      <c r="V14" s="10">
        <v>112.52</v>
      </c>
      <c r="W14" s="10">
        <v>99.15</v>
      </c>
      <c r="X14" s="10">
        <v>92.55</v>
      </c>
      <c r="Y14" s="10">
        <v>103.6</v>
      </c>
      <c r="Z14" s="10">
        <v>105.59</v>
      </c>
      <c r="AA14" s="10">
        <v>98.8</v>
      </c>
      <c r="AB14" s="10">
        <v>98.01</v>
      </c>
      <c r="AC14" s="10">
        <v>92.02</v>
      </c>
      <c r="AD14" s="10">
        <v>78.46</v>
      </c>
      <c r="AE14" s="10">
        <v>90.78</v>
      </c>
      <c r="AF14" s="10">
        <v>84.16</v>
      </c>
      <c r="AG14" s="10">
        <v>100.29</v>
      </c>
      <c r="AH14" s="10">
        <v>98.01</v>
      </c>
      <c r="AI14" s="10">
        <v>73.91</v>
      </c>
      <c r="AJ14" s="10">
        <v>85.98</v>
      </c>
      <c r="AK14" s="10">
        <v>71.92</v>
      </c>
      <c r="AL14" s="10">
        <v>88.24</v>
      </c>
      <c r="AM14" s="10">
        <v>102.28</v>
      </c>
    </row>
    <row r="15" ht="14.15" spans="1:175">
      <c r="A15" s="1" t="s">
        <v>88</v>
      </c>
      <c r="B15" s="2">
        <v>53</v>
      </c>
      <c r="C15" s="12">
        <v>1590</v>
      </c>
      <c r="D15" s="10">
        <v>71.3</v>
      </c>
      <c r="E15" s="10">
        <v>119.24</v>
      </c>
      <c r="F15" s="10">
        <v>105.43</v>
      </c>
      <c r="G15" s="10">
        <v>86.73</v>
      </c>
      <c r="H15" s="10">
        <v>71.53</v>
      </c>
      <c r="I15" s="10">
        <v>84.39</v>
      </c>
      <c r="J15" s="10">
        <v>71.7</v>
      </c>
      <c r="K15" s="10">
        <v>69.78</v>
      </c>
      <c r="L15" s="10">
        <v>56.9</v>
      </c>
      <c r="M15" s="10">
        <v>71.87</v>
      </c>
      <c r="N15" s="10">
        <v>93.57</v>
      </c>
      <c r="O15" s="10">
        <v>85.85</v>
      </c>
      <c r="P15" s="10">
        <v>85.17</v>
      </c>
      <c r="Q15" s="10">
        <v>53.18</v>
      </c>
      <c r="R15" s="10">
        <v>101.02</v>
      </c>
      <c r="S15" s="10">
        <v>95.85</v>
      </c>
      <c r="T15" s="10">
        <v>80.7</v>
      </c>
      <c r="U15" s="10">
        <v>83.96</v>
      </c>
      <c r="V15" s="10">
        <v>81.19</v>
      </c>
      <c r="W15" s="10">
        <v>83.38</v>
      </c>
      <c r="X15" s="10">
        <v>88.43</v>
      </c>
      <c r="Y15" s="10">
        <v>86.85</v>
      </c>
      <c r="Z15" s="10">
        <v>107.42</v>
      </c>
      <c r="AA15" s="10">
        <v>97</v>
      </c>
      <c r="AB15" s="10">
        <v>69.14</v>
      </c>
      <c r="AC15" s="10">
        <v>89.22</v>
      </c>
      <c r="AD15" s="10">
        <v>94.22</v>
      </c>
      <c r="AE15" s="10">
        <v>91.45</v>
      </c>
      <c r="AF15" s="10">
        <v>96.71</v>
      </c>
      <c r="AG15" s="10">
        <v>96.29</v>
      </c>
      <c r="AH15" s="10">
        <v>68.96</v>
      </c>
      <c r="AI15" s="10">
        <v>65.43</v>
      </c>
      <c r="AJ15" s="10">
        <v>85.35</v>
      </c>
      <c r="AK15" s="10">
        <v>92.03</v>
      </c>
      <c r="AL15" s="10">
        <v>103.96</v>
      </c>
      <c r="AM15" s="10">
        <v>107.91</v>
      </c>
    </row>
    <row r="16" ht="14.15" spans="1:175">
      <c r="A16" s="1" t="s">
        <v>89</v>
      </c>
      <c r="B16" s="2">
        <v>124</v>
      </c>
      <c r="C16" s="12">
        <v>3720</v>
      </c>
      <c r="D16" s="10">
        <v>91.29</v>
      </c>
      <c r="E16" s="10">
        <v>134.48</v>
      </c>
      <c r="F16" s="10">
        <v>133.22</v>
      </c>
      <c r="G16" s="10">
        <v>130.22</v>
      </c>
      <c r="H16" s="10">
        <v>126.01</v>
      </c>
      <c r="I16" s="10">
        <v>130.56</v>
      </c>
      <c r="J16" s="10">
        <v>132.26</v>
      </c>
      <c r="K16" s="10">
        <v>133.12</v>
      </c>
      <c r="L16" s="10">
        <v>121.8</v>
      </c>
      <c r="M16" s="10">
        <v>119.89</v>
      </c>
      <c r="N16" s="10">
        <v>128.17</v>
      </c>
      <c r="O16" s="10">
        <v>122.03</v>
      </c>
      <c r="P16" s="10">
        <v>131.15</v>
      </c>
      <c r="Q16" s="10">
        <v>96.12</v>
      </c>
      <c r="R16" s="10">
        <v>134.74</v>
      </c>
      <c r="S16" s="10">
        <v>128.26</v>
      </c>
      <c r="T16" s="10">
        <v>121.79</v>
      </c>
      <c r="U16" s="10">
        <v>117.04</v>
      </c>
      <c r="V16" s="10">
        <v>123.99</v>
      </c>
      <c r="W16" s="10">
        <v>110.82</v>
      </c>
      <c r="X16" s="10">
        <v>112.74</v>
      </c>
      <c r="Y16" s="10">
        <v>119.32</v>
      </c>
      <c r="Z16" s="10">
        <v>125.22</v>
      </c>
      <c r="AA16" s="10">
        <v>126.7</v>
      </c>
      <c r="AB16" s="10">
        <v>100.16</v>
      </c>
      <c r="AC16" s="10">
        <v>114.34</v>
      </c>
      <c r="AD16" s="10">
        <v>100.1</v>
      </c>
      <c r="AE16" s="10">
        <v>87.9</v>
      </c>
      <c r="AF16" s="10">
        <v>92.87</v>
      </c>
      <c r="AG16" s="10">
        <v>94.14</v>
      </c>
      <c r="AH16" s="10">
        <v>94.48</v>
      </c>
      <c r="AI16" s="10">
        <v>99.92</v>
      </c>
      <c r="AJ16" s="10">
        <v>90.73</v>
      </c>
      <c r="AK16" s="10">
        <v>97.03</v>
      </c>
      <c r="AL16" s="10">
        <v>103.55</v>
      </c>
      <c r="AM16" s="10">
        <v>117.66</v>
      </c>
    </row>
    <row r="17" ht="14.15" spans="1:39">
      <c r="A17" s="1" t="s">
        <v>90</v>
      </c>
      <c r="B17" s="2">
        <v>41</v>
      </c>
      <c r="C17" s="12">
        <v>1230</v>
      </c>
      <c r="D17" s="10">
        <v>61.45</v>
      </c>
      <c r="E17" s="10">
        <v>125.78</v>
      </c>
      <c r="F17" s="10">
        <v>105.66</v>
      </c>
      <c r="G17" s="10">
        <v>79.43</v>
      </c>
      <c r="H17" s="10">
        <v>73.09</v>
      </c>
      <c r="I17" s="10">
        <v>77.24</v>
      </c>
      <c r="J17" s="10">
        <v>151.85</v>
      </c>
      <c r="K17" s="10">
        <v>100.24</v>
      </c>
      <c r="L17" s="10">
        <v>58.05</v>
      </c>
      <c r="M17" s="10">
        <v>63.18</v>
      </c>
      <c r="N17" s="10">
        <v>71.71</v>
      </c>
      <c r="O17" s="10">
        <v>72.7</v>
      </c>
      <c r="P17" s="10">
        <v>117.78</v>
      </c>
      <c r="Q17" s="10">
        <v>66.95</v>
      </c>
      <c r="R17" s="10">
        <v>79.07</v>
      </c>
      <c r="S17" s="10">
        <v>61.79</v>
      </c>
      <c r="T17" s="10">
        <v>63.26</v>
      </c>
      <c r="U17" s="10">
        <v>66.1</v>
      </c>
      <c r="V17" s="10">
        <v>111.09</v>
      </c>
      <c r="W17" s="10">
        <v>105.82</v>
      </c>
      <c r="X17" s="10">
        <v>77.4</v>
      </c>
      <c r="Y17" s="10">
        <v>75.53</v>
      </c>
      <c r="Z17" s="10">
        <v>82.28</v>
      </c>
      <c r="AA17" s="10">
        <v>71</v>
      </c>
      <c r="AB17" s="10">
        <v>86.94</v>
      </c>
      <c r="AC17" s="10">
        <v>76.74</v>
      </c>
      <c r="AD17" s="10">
        <v>60.19</v>
      </c>
      <c r="AE17" s="10">
        <v>56.59</v>
      </c>
      <c r="AF17" s="10">
        <v>54.37</v>
      </c>
      <c r="AG17" s="10">
        <v>79.02</v>
      </c>
      <c r="AH17" s="10">
        <v>113.61</v>
      </c>
      <c r="AI17" s="10">
        <v>71.91</v>
      </c>
      <c r="AJ17" s="10">
        <v>53.5</v>
      </c>
      <c r="AK17" s="10">
        <v>42.01</v>
      </c>
      <c r="AL17" s="10">
        <v>57.15</v>
      </c>
      <c r="AM17" s="10">
        <v>53.58</v>
      </c>
    </row>
    <row r="18" ht="14.15" spans="1:39">
      <c r="A18" s="1" t="s">
        <v>91</v>
      </c>
      <c r="B18" s="2">
        <v>82</v>
      </c>
      <c r="C18" s="12">
        <v>2460</v>
      </c>
      <c r="D18" s="10">
        <v>95.21</v>
      </c>
      <c r="E18" s="10">
        <v>130.37</v>
      </c>
      <c r="F18" s="10">
        <v>130.75</v>
      </c>
      <c r="G18" s="10">
        <v>123.85</v>
      </c>
      <c r="H18" s="10">
        <v>123.41</v>
      </c>
      <c r="I18" s="10">
        <v>117.42</v>
      </c>
      <c r="J18" s="10">
        <v>120.65</v>
      </c>
      <c r="K18" s="10">
        <v>117.14</v>
      </c>
      <c r="L18" s="10">
        <v>99.58</v>
      </c>
      <c r="M18" s="10">
        <v>94.09</v>
      </c>
      <c r="N18" s="10">
        <v>117.45</v>
      </c>
      <c r="O18" s="10">
        <v>112.93</v>
      </c>
      <c r="P18" s="10">
        <v>129.66</v>
      </c>
      <c r="Q18" s="10">
        <v>88.39</v>
      </c>
      <c r="R18" s="10">
        <v>133.87</v>
      </c>
      <c r="S18" s="10">
        <v>127.11</v>
      </c>
      <c r="T18" s="10">
        <v>121.52</v>
      </c>
      <c r="U18" s="10">
        <v>123.25</v>
      </c>
      <c r="V18" s="10">
        <v>133.2</v>
      </c>
      <c r="W18" s="10">
        <v>133.91</v>
      </c>
      <c r="X18" s="10">
        <v>121.42</v>
      </c>
      <c r="Y18" s="10">
        <v>106.88</v>
      </c>
      <c r="Z18" s="10">
        <v>127.93</v>
      </c>
      <c r="AA18" s="10">
        <v>124.9</v>
      </c>
      <c r="AB18" s="10">
        <v>110.98</v>
      </c>
      <c r="AC18" s="10">
        <v>111.28</v>
      </c>
      <c r="AD18" s="10">
        <v>107.2</v>
      </c>
      <c r="AE18" s="10">
        <v>111.95</v>
      </c>
      <c r="AF18" s="10">
        <v>103.27</v>
      </c>
      <c r="AG18" s="10">
        <v>109.51</v>
      </c>
      <c r="AH18" s="10">
        <v>122.27</v>
      </c>
      <c r="AI18" s="10">
        <v>118.37</v>
      </c>
      <c r="AJ18" s="10">
        <v>120.65</v>
      </c>
      <c r="AK18" s="10">
        <v>97.72</v>
      </c>
      <c r="AL18" s="10">
        <v>120.65</v>
      </c>
      <c r="AM18" s="10">
        <v>122.11</v>
      </c>
    </row>
    <row r="19" ht="14.15" spans="1:39">
      <c r="A19" s="1" t="s">
        <v>92</v>
      </c>
      <c r="B19" s="2">
        <v>69</v>
      </c>
      <c r="C19" s="12">
        <v>2070</v>
      </c>
      <c r="D19" s="10">
        <v>68.89</v>
      </c>
      <c r="E19" s="10">
        <v>107.79</v>
      </c>
      <c r="F19" s="10">
        <v>114.88</v>
      </c>
      <c r="G19" s="10">
        <v>99.33</v>
      </c>
      <c r="H19" s="10">
        <v>87.61</v>
      </c>
      <c r="I19" s="10">
        <v>90.8</v>
      </c>
      <c r="J19" s="10">
        <v>90.06</v>
      </c>
      <c r="K19" s="10">
        <v>84.09</v>
      </c>
      <c r="L19" s="10">
        <v>58.76</v>
      </c>
      <c r="M19" s="10">
        <v>62.37</v>
      </c>
      <c r="N19" s="10">
        <v>89.38</v>
      </c>
      <c r="O19" s="10">
        <v>82.47</v>
      </c>
      <c r="P19" s="10">
        <v>88.84</v>
      </c>
      <c r="Q19" s="10">
        <v>55.22</v>
      </c>
      <c r="R19" s="10">
        <v>99.06</v>
      </c>
      <c r="S19" s="10">
        <v>70.37</v>
      </c>
      <c r="T19" s="10">
        <v>84.59</v>
      </c>
      <c r="U19" s="10">
        <v>83.48</v>
      </c>
      <c r="V19" s="10">
        <v>90.14</v>
      </c>
      <c r="W19" s="10">
        <v>102.57</v>
      </c>
      <c r="X19" s="10">
        <v>82.08</v>
      </c>
      <c r="Y19" s="10">
        <v>89.01</v>
      </c>
      <c r="Z19" s="10">
        <v>96.76</v>
      </c>
      <c r="AA19" s="10">
        <v>101</v>
      </c>
      <c r="AB19" s="10">
        <v>78.12</v>
      </c>
      <c r="AC19" s="10">
        <v>90.53</v>
      </c>
      <c r="AD19" s="10">
        <v>100.05</v>
      </c>
      <c r="AE19" s="10">
        <v>90.43</v>
      </c>
      <c r="AF19" s="10">
        <v>76.95</v>
      </c>
      <c r="AG19" s="10">
        <v>88.26</v>
      </c>
      <c r="AH19" s="10">
        <v>82.28</v>
      </c>
      <c r="AI19" s="10">
        <v>83.78</v>
      </c>
      <c r="AJ19" s="10">
        <v>69.03</v>
      </c>
      <c r="AK19" s="10">
        <v>81.63</v>
      </c>
      <c r="AL19" s="10">
        <v>87.54</v>
      </c>
      <c r="AM19" s="10">
        <v>89.9</v>
      </c>
    </row>
    <row r="20" ht="14.15" spans="1:39">
      <c r="A20" s="1" t="s">
        <v>93</v>
      </c>
      <c r="B20" s="2">
        <v>38</v>
      </c>
      <c r="C20" s="12">
        <v>1140</v>
      </c>
      <c r="D20" s="10">
        <v>43.44</v>
      </c>
      <c r="E20" s="10">
        <v>66.31</v>
      </c>
      <c r="F20" s="10">
        <v>61.61</v>
      </c>
      <c r="G20" s="10">
        <v>57.44</v>
      </c>
      <c r="H20" s="10">
        <v>46.13</v>
      </c>
      <c r="I20" s="10">
        <v>36</v>
      </c>
      <c r="J20" s="10">
        <v>38.49</v>
      </c>
      <c r="K20" s="10">
        <v>45.48</v>
      </c>
      <c r="L20" s="10">
        <v>23.78</v>
      </c>
      <c r="M20" s="10">
        <v>32.58</v>
      </c>
      <c r="N20" s="10">
        <v>47.11</v>
      </c>
      <c r="O20" s="10">
        <v>38.92</v>
      </c>
      <c r="P20" s="10">
        <v>50.43</v>
      </c>
      <c r="Q20" s="10">
        <v>25.63</v>
      </c>
      <c r="R20" s="10">
        <v>57.2</v>
      </c>
      <c r="S20" s="10">
        <v>59.89</v>
      </c>
      <c r="T20" s="10">
        <v>35.38</v>
      </c>
      <c r="U20" s="10">
        <v>21.56</v>
      </c>
      <c r="V20" s="10">
        <v>30.75</v>
      </c>
      <c r="W20" s="10">
        <v>34.62</v>
      </c>
      <c r="X20" s="10">
        <v>23.34</v>
      </c>
      <c r="Y20" s="10">
        <v>28.69</v>
      </c>
      <c r="Z20" s="10">
        <v>34.21</v>
      </c>
      <c r="AA20" s="10">
        <v>27</v>
      </c>
      <c r="AB20" s="10">
        <v>22.16</v>
      </c>
      <c r="AC20" s="10">
        <v>34.59</v>
      </c>
      <c r="AD20" s="10">
        <v>34.72</v>
      </c>
      <c r="AE20" s="10">
        <v>36.23</v>
      </c>
      <c r="AF20" s="10">
        <v>39.64</v>
      </c>
      <c r="AG20" s="10">
        <v>34.56</v>
      </c>
      <c r="AH20" s="10">
        <v>29.54</v>
      </c>
      <c r="AI20" s="10">
        <v>34.89</v>
      </c>
      <c r="AJ20" s="10">
        <v>33.07</v>
      </c>
      <c r="AK20" s="10">
        <v>39.22</v>
      </c>
      <c r="AL20" s="10">
        <v>51.05</v>
      </c>
      <c r="AM20" s="10">
        <v>35.31</v>
      </c>
    </row>
    <row r="21" ht="14.15" spans="1:39">
      <c r="A21" s="1" t="s">
        <v>94</v>
      </c>
      <c r="B21" s="2">
        <v>76</v>
      </c>
      <c r="C21" s="12">
        <v>2280</v>
      </c>
      <c r="D21" s="10">
        <v>72.92</v>
      </c>
      <c r="E21" s="10">
        <v>132.66</v>
      </c>
      <c r="F21" s="10">
        <v>125.93</v>
      </c>
      <c r="G21" s="10">
        <v>109.43</v>
      </c>
      <c r="H21" s="10">
        <v>109.17</v>
      </c>
      <c r="I21" s="10">
        <v>101.32</v>
      </c>
      <c r="J21" s="10">
        <v>123.43</v>
      </c>
      <c r="K21" s="10">
        <v>89.77</v>
      </c>
      <c r="L21" s="10">
        <v>98.99</v>
      </c>
      <c r="M21" s="10">
        <v>91</v>
      </c>
      <c r="N21" s="10">
        <v>121.84</v>
      </c>
      <c r="O21" s="10">
        <v>114.94</v>
      </c>
      <c r="P21" s="10">
        <v>114.77</v>
      </c>
      <c r="Q21" s="10">
        <v>67.83</v>
      </c>
      <c r="R21" s="10">
        <v>120.5</v>
      </c>
      <c r="S21" s="10">
        <v>107.63</v>
      </c>
      <c r="T21" s="10">
        <v>103.65</v>
      </c>
      <c r="U21" s="10">
        <v>99.91</v>
      </c>
      <c r="V21" s="10">
        <v>102.89</v>
      </c>
      <c r="W21" s="10">
        <v>105.56</v>
      </c>
      <c r="X21" s="10">
        <v>95.61</v>
      </c>
      <c r="Y21" s="10">
        <v>106.4</v>
      </c>
      <c r="Z21" s="10">
        <v>130</v>
      </c>
      <c r="AA21" s="10">
        <v>128</v>
      </c>
      <c r="AB21" s="10">
        <v>90.53</v>
      </c>
      <c r="AC21" s="10">
        <v>113.25</v>
      </c>
      <c r="AD21" s="10">
        <v>107.09</v>
      </c>
      <c r="AE21" s="10">
        <v>93.38</v>
      </c>
      <c r="AF21" s="10">
        <v>96.22</v>
      </c>
      <c r="AG21" s="10">
        <v>105.83</v>
      </c>
      <c r="AH21" s="10">
        <v>106.92</v>
      </c>
      <c r="AI21" s="10">
        <v>94.69</v>
      </c>
      <c r="AJ21" s="10">
        <v>97.32</v>
      </c>
      <c r="AK21" s="10">
        <v>90.15</v>
      </c>
      <c r="AL21" s="10">
        <v>116.93</v>
      </c>
      <c r="AM21" s="10">
        <v>115.11</v>
      </c>
    </row>
    <row r="22" ht="14.15" spans="1:39">
      <c r="A22" s="1" t="s">
        <v>95</v>
      </c>
      <c r="B22" s="2">
        <v>56</v>
      </c>
      <c r="C22" s="12">
        <v>1680</v>
      </c>
      <c r="D22" s="10">
        <v>96.42</v>
      </c>
      <c r="E22" s="10">
        <v>163.35</v>
      </c>
      <c r="F22" s="10">
        <v>166.76</v>
      </c>
      <c r="G22" s="10">
        <v>166.01</v>
      </c>
      <c r="H22" s="10">
        <v>165.5</v>
      </c>
      <c r="I22" s="10">
        <v>154.24</v>
      </c>
      <c r="J22" s="10">
        <v>131.39</v>
      </c>
      <c r="K22" s="10">
        <v>131.51</v>
      </c>
      <c r="L22" s="10">
        <v>128.33</v>
      </c>
      <c r="M22" s="10">
        <v>122.29</v>
      </c>
      <c r="N22" s="10">
        <v>126.19</v>
      </c>
      <c r="O22" s="10">
        <v>126.04</v>
      </c>
      <c r="P22" s="10">
        <v>126.73</v>
      </c>
      <c r="Q22" s="10">
        <v>76.72</v>
      </c>
      <c r="R22" s="10">
        <v>126.38</v>
      </c>
      <c r="S22" s="10">
        <v>125.6</v>
      </c>
      <c r="T22" s="10">
        <v>125.86</v>
      </c>
      <c r="U22" s="10">
        <v>124.29</v>
      </c>
      <c r="V22" s="10">
        <v>124.6</v>
      </c>
      <c r="W22" s="10">
        <v>125.12</v>
      </c>
      <c r="X22" s="10">
        <v>125.42</v>
      </c>
      <c r="Y22" s="10">
        <v>125.28</v>
      </c>
      <c r="Z22" s="10">
        <v>142.62</v>
      </c>
      <c r="AA22" s="10">
        <v>141.2</v>
      </c>
      <c r="AB22" s="10">
        <v>110.89</v>
      </c>
      <c r="AC22" s="10">
        <v>115.75</v>
      </c>
      <c r="AD22" s="10">
        <v>136.46</v>
      </c>
      <c r="AE22" s="10">
        <v>134.17</v>
      </c>
      <c r="AF22" s="10">
        <v>120.97</v>
      </c>
      <c r="AG22" s="10">
        <v>139.23</v>
      </c>
      <c r="AH22" s="10">
        <v>138.36</v>
      </c>
      <c r="AI22" s="10">
        <v>136.18</v>
      </c>
      <c r="AJ22" s="10">
        <v>139.76</v>
      </c>
      <c r="AK22" s="10">
        <v>126.84</v>
      </c>
      <c r="AL22" s="10">
        <v>139.23</v>
      </c>
      <c r="AM22" s="10">
        <v>137.15</v>
      </c>
    </row>
    <row r="23" ht="14.15" spans="1:39">
      <c r="A23" s="1" t="s">
        <v>96</v>
      </c>
      <c r="B23" s="2">
        <v>40</v>
      </c>
      <c r="C23" s="12">
        <v>1200</v>
      </c>
      <c r="D23" s="10">
        <v>65.4</v>
      </c>
      <c r="E23" s="10">
        <v>111.07</v>
      </c>
      <c r="F23" s="10">
        <v>101.29</v>
      </c>
      <c r="G23" s="10">
        <v>83.42</v>
      </c>
      <c r="H23" s="10">
        <v>94.11</v>
      </c>
      <c r="I23" s="10">
        <v>84.58</v>
      </c>
      <c r="J23" s="10">
        <v>84.76</v>
      </c>
      <c r="K23" s="10">
        <v>71.05</v>
      </c>
      <c r="L23" s="10">
        <v>74.25</v>
      </c>
      <c r="M23" s="10">
        <v>88.15</v>
      </c>
      <c r="N23" s="10">
        <v>85.42</v>
      </c>
      <c r="O23" s="10">
        <v>82.74</v>
      </c>
      <c r="P23" s="10">
        <v>97.74</v>
      </c>
      <c r="Q23" s="10">
        <v>61.03</v>
      </c>
      <c r="R23" s="10">
        <v>117.18</v>
      </c>
      <c r="S23" s="10">
        <v>108.92</v>
      </c>
      <c r="T23" s="10">
        <v>96.77</v>
      </c>
      <c r="U23" s="10">
        <v>73.92</v>
      </c>
      <c r="V23" s="10">
        <v>102.9</v>
      </c>
      <c r="W23" s="10">
        <v>85.32</v>
      </c>
      <c r="X23" s="10">
        <v>104.17</v>
      </c>
      <c r="Y23" s="10">
        <v>106.61</v>
      </c>
      <c r="Z23" s="10">
        <v>117.17</v>
      </c>
      <c r="AA23" s="10">
        <v>97.9</v>
      </c>
      <c r="AB23" s="10">
        <v>71.21</v>
      </c>
      <c r="AC23" s="10">
        <v>88.21</v>
      </c>
      <c r="AD23" s="10">
        <v>79.19</v>
      </c>
      <c r="AE23" s="10">
        <v>67.58</v>
      </c>
      <c r="AF23" s="10">
        <v>91.85</v>
      </c>
      <c r="AG23" s="10">
        <v>83.33</v>
      </c>
      <c r="AH23" s="10">
        <v>94.44</v>
      </c>
      <c r="AI23" s="10">
        <v>73.55</v>
      </c>
      <c r="AJ23" s="10">
        <v>80.25</v>
      </c>
      <c r="AK23" s="10">
        <v>86.53</v>
      </c>
      <c r="AL23" s="10">
        <v>82</v>
      </c>
      <c r="AM23" s="10">
        <v>93.39</v>
      </c>
    </row>
    <row r="24" ht="14.15" spans="1:39">
      <c r="A24" s="1" t="s">
        <v>97</v>
      </c>
      <c r="B24" s="2">
        <v>25</v>
      </c>
      <c r="C24" s="12">
        <v>750</v>
      </c>
      <c r="D24" s="10">
        <v>0</v>
      </c>
      <c r="E24" s="10">
        <v>12.86</v>
      </c>
      <c r="F24" s="10">
        <v>7.74</v>
      </c>
      <c r="G24" s="10">
        <v>9.5</v>
      </c>
      <c r="H24" s="10">
        <v>14.76</v>
      </c>
      <c r="I24" s="10">
        <v>27.67</v>
      </c>
      <c r="J24" s="10">
        <v>69.19</v>
      </c>
      <c r="K24" s="10">
        <v>69.84</v>
      </c>
      <c r="L24" s="10">
        <v>78</v>
      </c>
      <c r="M24" s="10">
        <v>94.84</v>
      </c>
      <c r="N24" s="10">
        <v>138.17</v>
      </c>
      <c r="O24" s="10">
        <v>95.65</v>
      </c>
      <c r="P24" s="10">
        <v>131.45</v>
      </c>
      <c r="Q24" s="10">
        <v>104.48</v>
      </c>
      <c r="R24" s="10">
        <v>150</v>
      </c>
      <c r="S24" s="10">
        <v>99.07</v>
      </c>
      <c r="T24" s="10">
        <v>90.06</v>
      </c>
      <c r="U24" s="10">
        <v>100</v>
      </c>
      <c r="V24" s="10">
        <v>112.77</v>
      </c>
      <c r="W24" s="10">
        <v>120.52</v>
      </c>
      <c r="X24" s="10">
        <v>100.67</v>
      </c>
      <c r="Y24" s="10">
        <v>99.35</v>
      </c>
      <c r="Z24" s="10">
        <v>125.73</v>
      </c>
      <c r="AA24" s="10">
        <v>130.5</v>
      </c>
      <c r="AB24" s="10">
        <v>83.74</v>
      </c>
      <c r="AC24" s="10">
        <v>100.29</v>
      </c>
      <c r="AD24" s="10">
        <v>101.94</v>
      </c>
      <c r="AE24" s="10">
        <v>89.2</v>
      </c>
      <c r="AF24" s="10">
        <v>81.42</v>
      </c>
      <c r="AG24" s="10">
        <v>87.87</v>
      </c>
      <c r="AH24" s="10">
        <v>121.68</v>
      </c>
      <c r="AI24" s="10">
        <v>81.55</v>
      </c>
      <c r="AJ24" s="10">
        <v>82.4</v>
      </c>
      <c r="AK24" s="10">
        <v>75.74</v>
      </c>
      <c r="AL24" s="10">
        <v>96.13</v>
      </c>
      <c r="AM24" s="10">
        <v>92.39</v>
      </c>
    </row>
    <row r="25" ht="14.15" spans="1:39">
      <c r="A25" s="1" t="s">
        <v>98</v>
      </c>
      <c r="B25" s="2">
        <v>22</v>
      </c>
      <c r="C25" s="12">
        <v>660</v>
      </c>
      <c r="D25" s="10">
        <v>25.37</v>
      </c>
      <c r="E25" s="10">
        <v>45.62</v>
      </c>
      <c r="F25" s="10">
        <v>51.47</v>
      </c>
      <c r="G25" s="10">
        <v>92.12</v>
      </c>
      <c r="H25" s="10">
        <v>75.66</v>
      </c>
      <c r="I25" s="10">
        <v>88.94</v>
      </c>
      <c r="J25" s="10">
        <v>95.6</v>
      </c>
      <c r="K25" s="10">
        <v>100.15</v>
      </c>
      <c r="L25" s="10">
        <v>103.33</v>
      </c>
      <c r="M25" s="10">
        <v>95.31</v>
      </c>
      <c r="N25" s="10">
        <v>106.21</v>
      </c>
      <c r="O25" s="10">
        <v>103.67</v>
      </c>
      <c r="P25" s="10">
        <v>116.42</v>
      </c>
      <c r="Q25" s="10">
        <v>90.91</v>
      </c>
      <c r="R25" s="10">
        <v>100.88</v>
      </c>
      <c r="S25" s="10">
        <v>100.76</v>
      </c>
      <c r="T25" s="10">
        <v>100.73</v>
      </c>
      <c r="U25" s="10">
        <v>102.58</v>
      </c>
      <c r="V25" s="10">
        <v>0</v>
      </c>
      <c r="W25" s="10">
        <v>92.23</v>
      </c>
      <c r="X25" s="10">
        <v>101.06</v>
      </c>
      <c r="Y25" s="10">
        <v>101.9</v>
      </c>
      <c r="Z25" s="10">
        <v>100.61</v>
      </c>
      <c r="AA25" s="10">
        <v>98.2</v>
      </c>
      <c r="AB25" s="10">
        <v>82.99</v>
      </c>
      <c r="AC25" s="10">
        <v>76.79</v>
      </c>
      <c r="AD25" s="10">
        <v>87.98</v>
      </c>
      <c r="AE25" s="10">
        <v>99.85</v>
      </c>
      <c r="AF25" s="10">
        <v>97.95</v>
      </c>
      <c r="AG25" s="10">
        <v>103.94</v>
      </c>
      <c r="AH25" s="10">
        <v>102.93</v>
      </c>
      <c r="AI25" s="10">
        <v>102.49</v>
      </c>
      <c r="AJ25" s="10">
        <v>97.27</v>
      </c>
      <c r="AK25" s="10">
        <v>101.91</v>
      </c>
      <c r="AL25" s="10">
        <v>99.24</v>
      </c>
      <c r="AM25" s="10">
        <v>111.58</v>
      </c>
    </row>
    <row r="26" ht="14.15" spans="1:39">
      <c r="A26" s="1" t="s">
        <v>99</v>
      </c>
      <c r="B26" s="2">
        <v>84</v>
      </c>
      <c r="C26" s="12">
        <v>2520</v>
      </c>
      <c r="D26" s="10">
        <v>94.04</v>
      </c>
      <c r="E26" s="10">
        <v>181.68</v>
      </c>
      <c r="F26" s="10">
        <v>120.89</v>
      </c>
      <c r="G26" s="10">
        <v>113.81</v>
      </c>
      <c r="H26" s="10">
        <v>117.32</v>
      </c>
      <c r="I26" s="10">
        <v>117.58</v>
      </c>
      <c r="J26" s="10">
        <v>126.38</v>
      </c>
      <c r="K26" s="10">
        <v>119.89</v>
      </c>
      <c r="L26" s="10">
        <v>116.98</v>
      </c>
      <c r="M26" s="10">
        <v>115.17</v>
      </c>
      <c r="N26" s="10">
        <v>130.44</v>
      </c>
      <c r="O26" s="10">
        <v>123.77</v>
      </c>
      <c r="P26" s="10">
        <v>125.92</v>
      </c>
      <c r="Q26" s="10">
        <v>94.01</v>
      </c>
      <c r="R26" s="10">
        <v>135.6</v>
      </c>
      <c r="S26" s="10">
        <v>121.71</v>
      </c>
      <c r="T26" s="10">
        <v>115.25</v>
      </c>
      <c r="U26" s="10">
        <v>111.71</v>
      </c>
      <c r="V26" s="10">
        <v>123.92</v>
      </c>
      <c r="W26" s="10">
        <v>128.15</v>
      </c>
      <c r="X26" s="10">
        <v>121.98</v>
      </c>
      <c r="Y26" s="10">
        <v>115.86</v>
      </c>
      <c r="Z26" s="10">
        <v>126.39</v>
      </c>
      <c r="AA26" s="10">
        <v>124.4</v>
      </c>
      <c r="AB26" s="10">
        <v>94.66</v>
      </c>
      <c r="AC26" s="10">
        <v>117.26</v>
      </c>
      <c r="AD26" s="10">
        <v>124.39</v>
      </c>
      <c r="AE26" s="10">
        <v>116.79</v>
      </c>
      <c r="AF26" s="10">
        <v>114.75</v>
      </c>
      <c r="AG26" s="10">
        <v>119.09</v>
      </c>
      <c r="AH26" s="10">
        <v>116.28</v>
      </c>
      <c r="AI26" s="10">
        <v>113.86</v>
      </c>
      <c r="AJ26" s="10">
        <v>110.6</v>
      </c>
      <c r="AK26" s="10">
        <v>107.83</v>
      </c>
      <c r="AL26" s="10">
        <v>116.98</v>
      </c>
      <c r="AM26" s="10">
        <v>138.12</v>
      </c>
    </row>
    <row r="27" ht="14.15" spans="1:39">
      <c r="A27" s="1" t="s">
        <v>100</v>
      </c>
      <c r="B27" s="2">
        <v>83</v>
      </c>
      <c r="C27" s="12">
        <v>2490</v>
      </c>
      <c r="D27" s="10">
        <v>64.65</v>
      </c>
      <c r="E27" s="10">
        <v>96.69</v>
      </c>
      <c r="F27" s="10">
        <v>104.09</v>
      </c>
      <c r="G27" s="10">
        <v>96.88</v>
      </c>
      <c r="H27" s="10">
        <v>96.28</v>
      </c>
      <c r="I27" s="10">
        <v>113.01</v>
      </c>
      <c r="J27" s="10">
        <v>112.16</v>
      </c>
      <c r="K27" s="10">
        <v>104.39</v>
      </c>
      <c r="L27" s="10">
        <v>89.44</v>
      </c>
      <c r="M27" s="10">
        <v>106.02</v>
      </c>
      <c r="N27" s="10">
        <v>128.27</v>
      </c>
      <c r="O27" s="10">
        <v>113.91</v>
      </c>
      <c r="P27" s="10">
        <v>110.53</v>
      </c>
      <c r="Q27" s="10">
        <v>78.89</v>
      </c>
      <c r="R27" s="10">
        <v>83.87</v>
      </c>
      <c r="S27" s="10">
        <v>77.79</v>
      </c>
      <c r="T27" s="10">
        <v>69.53</v>
      </c>
      <c r="U27" s="10">
        <v>70.64</v>
      </c>
      <c r="V27" s="10">
        <v>82.74</v>
      </c>
      <c r="W27" s="10">
        <v>73.84</v>
      </c>
      <c r="X27" s="10">
        <v>69.76</v>
      </c>
      <c r="Y27" s="10">
        <v>71.31</v>
      </c>
      <c r="Z27" s="10">
        <v>90.76</v>
      </c>
      <c r="AA27" s="10">
        <v>99.6</v>
      </c>
      <c r="AB27" s="10">
        <v>82.2</v>
      </c>
      <c r="AC27" s="10">
        <v>75.82</v>
      </c>
      <c r="AD27" s="10">
        <v>73.8</v>
      </c>
      <c r="AE27" s="10">
        <v>78.59</v>
      </c>
      <c r="AF27" s="10">
        <v>71.59</v>
      </c>
      <c r="AG27" s="10">
        <v>78.15</v>
      </c>
      <c r="AH27" s="10">
        <v>83.6</v>
      </c>
      <c r="AI27" s="10">
        <v>73.61</v>
      </c>
      <c r="AJ27" s="10">
        <v>60.8</v>
      </c>
      <c r="AK27" s="10">
        <v>54.88</v>
      </c>
      <c r="AL27" s="10">
        <v>84.98</v>
      </c>
      <c r="AM27" s="10">
        <v>75.83</v>
      </c>
    </row>
    <row r="28" ht="15.4" spans="1:39">
      <c r="A28" s="1" t="s">
        <v>101</v>
      </c>
      <c r="B28" s="11">
        <v>40</v>
      </c>
      <c r="C28" s="12">
        <v>1200</v>
      </c>
      <c r="D28" s="10">
        <v>42.71</v>
      </c>
      <c r="E28" s="10">
        <v>86.42</v>
      </c>
      <c r="F28" s="10">
        <v>68.36</v>
      </c>
      <c r="G28" s="10">
        <v>57.38</v>
      </c>
      <c r="H28" s="10">
        <v>49.55</v>
      </c>
      <c r="I28" s="10">
        <v>36.95</v>
      </c>
      <c r="J28" s="10">
        <v>45.09</v>
      </c>
      <c r="K28" s="10">
        <v>34.73</v>
      </c>
      <c r="L28" s="10">
        <v>25.32</v>
      </c>
      <c r="M28" s="10">
        <v>35.14</v>
      </c>
      <c r="N28" s="10">
        <v>39.64</v>
      </c>
      <c r="O28" s="10">
        <v>42.66</v>
      </c>
      <c r="P28" s="10">
        <v>50.65</v>
      </c>
      <c r="Q28" s="10">
        <v>30.26</v>
      </c>
      <c r="R28" s="10">
        <v>48.79</v>
      </c>
      <c r="S28" s="10">
        <v>41.08</v>
      </c>
      <c r="T28" s="10">
        <v>40.08</v>
      </c>
      <c r="U28" s="10">
        <v>33.92</v>
      </c>
      <c r="V28" s="10">
        <v>50.16</v>
      </c>
      <c r="W28" s="10">
        <v>40.24</v>
      </c>
      <c r="X28" s="10">
        <v>43.42</v>
      </c>
      <c r="Y28" s="10">
        <v>45.08</v>
      </c>
      <c r="Z28" s="10">
        <v>46.75</v>
      </c>
      <c r="AA28" s="10">
        <v>63.1</v>
      </c>
      <c r="AB28" s="10">
        <v>29.52</v>
      </c>
      <c r="AC28" s="10">
        <v>37.14</v>
      </c>
      <c r="AD28" s="10">
        <v>33.63</v>
      </c>
      <c r="AE28" s="10">
        <v>32.75</v>
      </c>
      <c r="AF28" s="10">
        <v>31.29</v>
      </c>
      <c r="AG28" s="10">
        <v>32.42</v>
      </c>
      <c r="AH28" s="10">
        <v>30.4</v>
      </c>
      <c r="AI28" s="10">
        <v>30.65</v>
      </c>
      <c r="AJ28" s="10">
        <v>39</v>
      </c>
      <c r="AK28" s="10">
        <v>29.35</v>
      </c>
      <c r="AL28" s="10">
        <v>32</v>
      </c>
      <c r="AM28" s="10">
        <v>41.13</v>
      </c>
    </row>
    <row r="29" ht="14.15" spans="1:39">
      <c r="A29" s="1" t="s">
        <v>102</v>
      </c>
      <c r="B29" s="2">
        <v>130</v>
      </c>
      <c r="C29" s="12">
        <v>3900</v>
      </c>
      <c r="D29" s="10">
        <v>80.02</v>
      </c>
      <c r="E29" s="10">
        <v>124.77</v>
      </c>
      <c r="F29" s="10">
        <v>104.94</v>
      </c>
      <c r="G29" s="10">
        <v>96.9</v>
      </c>
      <c r="H29" s="10">
        <v>94.42</v>
      </c>
      <c r="I29" s="10">
        <v>94.69</v>
      </c>
      <c r="J29" s="10">
        <v>106.75</v>
      </c>
      <c r="K29" s="10">
        <v>104.59</v>
      </c>
      <c r="L29" s="10">
        <v>91.79</v>
      </c>
      <c r="M29" s="10">
        <v>84.86</v>
      </c>
      <c r="N29" s="10">
        <v>101</v>
      </c>
      <c r="O29" s="10">
        <v>97.3</v>
      </c>
      <c r="P29" s="10">
        <v>102.88</v>
      </c>
      <c r="Q29" s="10">
        <v>67.4</v>
      </c>
      <c r="R29" s="10">
        <v>101.36</v>
      </c>
      <c r="S29" s="10">
        <v>93.95</v>
      </c>
      <c r="T29" s="10">
        <v>90.17</v>
      </c>
      <c r="U29" s="10">
        <v>94.18</v>
      </c>
      <c r="V29" s="10">
        <v>102.33</v>
      </c>
      <c r="W29" s="10">
        <v>103.47</v>
      </c>
      <c r="X29" s="10">
        <v>85.31</v>
      </c>
      <c r="Y29" s="10">
        <v>79.33</v>
      </c>
      <c r="Z29" s="10">
        <v>97.62</v>
      </c>
      <c r="AA29" s="10">
        <v>97.1</v>
      </c>
      <c r="AB29" s="10">
        <v>80.07</v>
      </c>
      <c r="AC29" s="10">
        <v>87.61</v>
      </c>
      <c r="AD29" s="10">
        <v>89.93</v>
      </c>
      <c r="AE29" s="10">
        <v>77.13</v>
      </c>
      <c r="AF29" s="10">
        <v>57.54</v>
      </c>
      <c r="AG29" s="10">
        <v>60.15</v>
      </c>
      <c r="AH29" s="10">
        <v>68.73</v>
      </c>
      <c r="AI29" s="10">
        <v>64.59</v>
      </c>
      <c r="AJ29" s="10">
        <v>64.97</v>
      </c>
      <c r="AK29" s="10">
        <v>54.34</v>
      </c>
      <c r="AL29" s="10">
        <v>66.79</v>
      </c>
      <c r="AM29" s="10">
        <v>69.03</v>
      </c>
    </row>
    <row r="30" ht="14.15" spans="1:39">
      <c r="A30" s="1" t="s">
        <v>103</v>
      </c>
      <c r="B30" s="2">
        <v>70</v>
      </c>
      <c r="C30" s="12">
        <v>2100</v>
      </c>
      <c r="D30" s="10">
        <v>64.88</v>
      </c>
      <c r="E30" s="10">
        <v>105.97</v>
      </c>
      <c r="F30" s="10">
        <v>108.57</v>
      </c>
      <c r="G30" s="10">
        <v>92.48</v>
      </c>
      <c r="H30" s="10">
        <v>95.12</v>
      </c>
      <c r="I30" s="10">
        <v>102.62</v>
      </c>
      <c r="J30" s="10">
        <v>96.68</v>
      </c>
      <c r="K30" s="10">
        <v>97.24</v>
      </c>
      <c r="L30" s="10">
        <v>94.62</v>
      </c>
      <c r="M30" s="10">
        <v>89.59</v>
      </c>
      <c r="N30" s="10">
        <v>112.76</v>
      </c>
      <c r="O30" s="10">
        <v>98.11</v>
      </c>
      <c r="P30" s="10">
        <v>109.08</v>
      </c>
      <c r="Q30" s="10">
        <v>77.64</v>
      </c>
      <c r="R30" s="10">
        <v>106.04</v>
      </c>
      <c r="S30" s="10">
        <v>98.9</v>
      </c>
      <c r="T30" s="10">
        <v>96.87</v>
      </c>
      <c r="U30" s="10">
        <v>87.14</v>
      </c>
      <c r="V30" s="10">
        <v>101.71</v>
      </c>
      <c r="W30" s="10">
        <v>99.17</v>
      </c>
      <c r="X30" s="10">
        <v>98.1</v>
      </c>
      <c r="Y30" s="10">
        <v>94.37</v>
      </c>
      <c r="Z30" s="10">
        <v>109.52</v>
      </c>
      <c r="AA30" s="10">
        <v>101.8</v>
      </c>
      <c r="AB30" s="10">
        <v>77.28</v>
      </c>
      <c r="AC30" s="10">
        <v>88.72</v>
      </c>
      <c r="AD30" s="10">
        <v>77.83</v>
      </c>
      <c r="AE30" s="10">
        <v>86.62</v>
      </c>
      <c r="AF30" s="10">
        <v>86.73</v>
      </c>
      <c r="AG30" s="10">
        <v>96.1</v>
      </c>
      <c r="AH30" s="10">
        <v>96.73</v>
      </c>
      <c r="AI30" s="10">
        <v>93.36</v>
      </c>
      <c r="AJ30" s="10">
        <v>87.81</v>
      </c>
      <c r="AK30" s="10">
        <v>76.22</v>
      </c>
      <c r="AL30" s="10">
        <v>92.19</v>
      </c>
      <c r="AM30" s="10">
        <v>91.15</v>
      </c>
    </row>
    <row r="31" ht="15.4" spans="1:39">
      <c r="A31" s="1" t="s">
        <v>104</v>
      </c>
      <c r="B31" s="11">
        <v>40</v>
      </c>
      <c r="C31" s="12">
        <v>1200</v>
      </c>
      <c r="D31" s="10">
        <v>77.72</v>
      </c>
      <c r="E31" s="10">
        <v>120.42</v>
      </c>
      <c r="F31" s="10">
        <v>127.52</v>
      </c>
      <c r="G31" s="10">
        <v>113.85</v>
      </c>
      <c r="H31" s="10">
        <v>100.91</v>
      </c>
      <c r="I31" s="10">
        <v>77.31</v>
      </c>
      <c r="J31" s="10">
        <v>83.87</v>
      </c>
      <c r="K31" s="10">
        <v>72.9</v>
      </c>
      <c r="L31" s="10">
        <v>95.58</v>
      </c>
      <c r="M31" s="10">
        <v>85.16</v>
      </c>
      <c r="N31" s="10">
        <v>108.25</v>
      </c>
      <c r="O31" s="10">
        <v>88.06</v>
      </c>
      <c r="P31" s="10">
        <v>74.68</v>
      </c>
      <c r="Q31" s="10">
        <v>38.45</v>
      </c>
      <c r="R31" s="10">
        <v>98.15</v>
      </c>
      <c r="S31" s="10">
        <v>89</v>
      </c>
      <c r="T31" s="10">
        <v>89.92</v>
      </c>
      <c r="U31" s="10">
        <v>79.67</v>
      </c>
      <c r="V31" s="10">
        <v>81.77</v>
      </c>
      <c r="W31" s="10">
        <v>76.85</v>
      </c>
      <c r="X31" s="10">
        <v>105.92</v>
      </c>
      <c r="Y31" s="10">
        <v>92.41</v>
      </c>
      <c r="Z31" s="10">
        <v>119.75</v>
      </c>
      <c r="AA31" s="10">
        <v>104.8</v>
      </c>
      <c r="AB31" s="10">
        <v>60.4</v>
      </c>
      <c r="AC31" s="10">
        <v>88.3</v>
      </c>
      <c r="AD31" s="10">
        <v>104.84</v>
      </c>
      <c r="AE31" s="10">
        <v>95.67</v>
      </c>
      <c r="AF31" s="10">
        <v>74.19</v>
      </c>
      <c r="AG31" s="10">
        <v>79</v>
      </c>
      <c r="AH31" s="10">
        <v>94.76</v>
      </c>
      <c r="AI31" s="10">
        <v>104.84</v>
      </c>
      <c r="AJ31" s="10">
        <v>105.25</v>
      </c>
      <c r="AK31" s="10">
        <v>111.53</v>
      </c>
      <c r="AL31" s="10">
        <v>128.08</v>
      </c>
      <c r="AM31" s="10">
        <v>117.74</v>
      </c>
    </row>
    <row r="32" ht="14.15" spans="1:39">
      <c r="A32" s="1" t="s">
        <v>105</v>
      </c>
      <c r="B32" s="2">
        <v>20</v>
      </c>
      <c r="C32" s="12">
        <v>600</v>
      </c>
      <c r="D32" s="10">
        <v>75.81</v>
      </c>
      <c r="E32" s="10">
        <v>96.25</v>
      </c>
      <c r="F32" s="10">
        <v>101.29</v>
      </c>
      <c r="G32" s="10">
        <v>84.67</v>
      </c>
      <c r="H32" s="10">
        <v>95.16</v>
      </c>
      <c r="I32" s="10">
        <v>101.17</v>
      </c>
      <c r="J32" s="10">
        <v>99.19</v>
      </c>
      <c r="K32" s="10">
        <v>86.29</v>
      </c>
      <c r="L32" s="10">
        <v>59</v>
      </c>
      <c r="M32" s="10">
        <v>77.1</v>
      </c>
      <c r="N32" s="10">
        <v>100.33</v>
      </c>
      <c r="O32" s="10">
        <v>89.68</v>
      </c>
      <c r="P32" s="10">
        <v>76.61</v>
      </c>
      <c r="Q32" s="10">
        <v>51.21</v>
      </c>
      <c r="R32" s="10">
        <v>104.35</v>
      </c>
      <c r="S32" s="10">
        <v>86.83</v>
      </c>
      <c r="T32" s="10">
        <v>77.9</v>
      </c>
      <c r="U32" s="10">
        <v>74.67</v>
      </c>
      <c r="V32" s="10">
        <v>80</v>
      </c>
      <c r="W32" s="10">
        <v>84.19</v>
      </c>
      <c r="X32" s="10">
        <v>67.5</v>
      </c>
      <c r="Y32" s="10">
        <v>76.93</v>
      </c>
      <c r="Z32" s="10">
        <v>82.67</v>
      </c>
      <c r="AA32" s="10">
        <v>84.2</v>
      </c>
      <c r="AB32" s="10">
        <v>63.71</v>
      </c>
      <c r="AC32" s="10">
        <v>71.61</v>
      </c>
      <c r="AD32" s="10">
        <v>54.35</v>
      </c>
      <c r="AE32" s="10">
        <v>60.33</v>
      </c>
      <c r="AF32" s="10">
        <v>63.23</v>
      </c>
      <c r="AG32" s="10">
        <v>81.17</v>
      </c>
      <c r="AH32" s="10">
        <v>81.61</v>
      </c>
      <c r="AI32" s="10">
        <v>74.84</v>
      </c>
      <c r="AJ32" s="10">
        <v>80.5</v>
      </c>
      <c r="AK32" s="10">
        <v>73.55</v>
      </c>
      <c r="AL32" s="10">
        <v>90.5</v>
      </c>
      <c r="AM32" s="10">
        <v>85.97</v>
      </c>
    </row>
    <row r="41" spans="4:39">
      <c r="D41" s="3">
        <f>B3*31*D3/100</f>
        <v>3831.135</v>
      </c>
      <c r="E41" s="3">
        <f>B3*28*E3/100</f>
        <v>5421.85</v>
      </c>
      <c r="F41" s="3">
        <f>B3*31*F3/100</f>
        <v>5696.25</v>
      </c>
      <c r="G41" s="3">
        <f>B3*30*G3/100</f>
        <v>4933.95</v>
      </c>
      <c r="H41" s="3">
        <f>B3*31*H3/100</f>
        <v>4852.12</v>
      </c>
      <c r="I41" s="3">
        <f>B3*30*I3/100</f>
        <v>4245.15</v>
      </c>
      <c r="J41" s="3">
        <f>B3*J3*31/100</f>
        <v>3366.2125</v>
      </c>
      <c r="K41" s="3">
        <f>B3*31*K3/100</f>
        <v>3624.985</v>
      </c>
      <c r="L41" s="3">
        <f>B3*30*L3/100</f>
        <v>3763.2</v>
      </c>
      <c r="M41" s="3">
        <f>B3*31*M3/100</f>
        <v>4392.08</v>
      </c>
      <c r="N41" s="3">
        <f>B3*30*N3/100</f>
        <v>5179.125</v>
      </c>
      <c r="O41" s="3">
        <f>B3*31*O3/100</f>
        <v>4764.235</v>
      </c>
      <c r="P41" s="3">
        <f>B3*31*P3/100</f>
        <v>5026.2625</v>
      </c>
      <c r="Q41" s="3">
        <f>B3*29*Q3/100</f>
        <v>2695.84</v>
      </c>
      <c r="R41" s="3">
        <f>B3*31*R3/100</f>
        <v>5607.8225</v>
      </c>
      <c r="S41" s="3">
        <f>B3*30*S3/100</f>
        <v>4664.1</v>
      </c>
      <c r="T41" s="3">
        <f>B3*31*T3/100</f>
        <v>4438.735</v>
      </c>
      <c r="U41" s="3">
        <f>B3*30*U3/100</f>
        <v>3813.075</v>
      </c>
      <c r="V41" s="3">
        <f>B3*31*V3/100</f>
        <v>3209.9725</v>
      </c>
      <c r="W41" s="3">
        <f>B3*31*W3/100</f>
        <v>3749.76</v>
      </c>
      <c r="X41" s="3">
        <f>B3*30*X3/100</f>
        <v>3902.85</v>
      </c>
      <c r="Y41" s="3">
        <f>B3*31*Y3/100</f>
        <v>4612.8775</v>
      </c>
      <c r="Z41" s="3">
        <f>B3*30*Z3/100</f>
        <v>5247.9</v>
      </c>
      <c r="AA41" s="3">
        <f>B3*31*AA3/100</f>
        <v>5365.325</v>
      </c>
      <c r="AB41" s="3">
        <f>B3*31*AB3/100</f>
        <v>3954.825</v>
      </c>
      <c r="AC41" s="3">
        <f>B3*28*AC3/100</f>
        <v>4555.04</v>
      </c>
      <c r="AD41" s="3">
        <f>B3*31*AD3/100</f>
        <v>5172.195</v>
      </c>
      <c r="AE41" s="3">
        <f>B3*30*AE3/100</f>
        <v>4076.1</v>
      </c>
      <c r="AF41" s="3">
        <f>B3*31*AF3/100</f>
        <v>3972.185</v>
      </c>
      <c r="AG41" s="3">
        <f>B3*30*AG3/100</f>
        <v>3903.9</v>
      </c>
      <c r="AH41" s="3">
        <f>B3*31*AH3/100</f>
        <v>3906</v>
      </c>
      <c r="AI41" s="3">
        <f>B3*31*AI3/100</f>
        <v>3615.22</v>
      </c>
      <c r="AJ41" s="3">
        <f>B3*30*AJ3/100</f>
        <v>4269.825</v>
      </c>
      <c r="AK41" s="3">
        <f>B3*31*AK3/100</f>
        <v>4460.9775</v>
      </c>
      <c r="AL41" s="3">
        <f>B3*30*AL3/100</f>
        <v>4967.025</v>
      </c>
      <c r="AM41" s="3">
        <f>B3*31*AM3/100</f>
        <v>5049.0475</v>
      </c>
    </row>
    <row r="42" spans="4:39">
      <c r="D42" s="3">
        <f t="shared" ref="D42:D70" si="0">B4*31*D4/100</f>
        <v>3759.0476</v>
      </c>
      <c r="E42" s="3">
        <f t="shared" ref="E42:E70" si="1">B4*28*E4/100</f>
        <v>3940.048</v>
      </c>
      <c r="F42" s="3">
        <f t="shared" ref="F42:F70" si="2">B4*31*F4/100</f>
        <v>4290.9363</v>
      </c>
      <c r="G42" s="3">
        <f t="shared" ref="G42:G70" si="3">B4*30*G4/100</f>
        <v>4078.986</v>
      </c>
      <c r="H42" s="3">
        <f t="shared" ref="H42:H70" si="4">B4*31*H4/100</f>
        <v>4143.2988</v>
      </c>
      <c r="I42" s="3">
        <f t="shared" ref="I42:I70" si="5">B4*30*I4/100</f>
        <v>3467.862</v>
      </c>
      <c r="J42" s="3">
        <f t="shared" ref="J42:J70" si="6">B4*J4*31/100</f>
        <v>3848.0238</v>
      </c>
      <c r="K42" s="3">
        <f t="shared" ref="K42:K70" si="7">B4*31*K4/100</f>
        <v>3814.953</v>
      </c>
      <c r="L42" s="3">
        <f t="shared" ref="L42:L70" si="8">B4*30*L4/100</f>
        <v>3630.93</v>
      </c>
      <c r="M42" s="3">
        <f t="shared" ref="M42:M70" si="9">B4*31*M4/100</f>
        <v>3624.0085</v>
      </c>
      <c r="N42" s="3">
        <f t="shared" ref="N42:N70" si="10">B4*30*N4/100</f>
        <v>3712.845</v>
      </c>
      <c r="O42" s="3">
        <f t="shared" ref="O42:O70" si="11">B4*31*O4/100</f>
        <v>3846.0553</v>
      </c>
      <c r="P42" s="3">
        <f t="shared" ref="P42:P70" si="12">B4*31*P4/100</f>
        <v>3892.1182</v>
      </c>
      <c r="Q42" s="3">
        <f t="shared" ref="Q42:Q70" si="13">B4*29*Q4/100</f>
        <v>3196.844</v>
      </c>
      <c r="R42" s="3">
        <f t="shared" ref="R42:R70" si="14">B4*31*R4/100</f>
        <v>3916.9213</v>
      </c>
      <c r="S42" s="3">
        <f t="shared" ref="S42:S70" si="15">B4*30*S4/100</f>
        <v>3768.09</v>
      </c>
      <c r="T42" s="3">
        <f t="shared" ref="T42:T70" si="16">B4*31*T4/100</f>
        <v>3829.9136</v>
      </c>
      <c r="U42" s="3">
        <f t="shared" ref="U42:U70" si="17">B4*30*U4/100</f>
        <v>3747.897</v>
      </c>
      <c r="V42" s="3">
        <f t="shared" ref="V42:V70" si="18">B4*31*V4/100</f>
        <v>3885.819</v>
      </c>
      <c r="W42" s="3">
        <f t="shared" ref="W42:W70" si="19">B4*31*W4/100</f>
        <v>3842.9057</v>
      </c>
      <c r="X42" s="3">
        <f t="shared" ref="X42:X70" si="20">B4*30*X4/100</f>
        <v>3704.082</v>
      </c>
      <c r="Y42" s="3">
        <f t="shared" ref="Y42:Y70" si="21">B4*31*Y4/100</f>
        <v>3762.9846</v>
      </c>
      <c r="Z42" s="3">
        <f t="shared" ref="Z42:Z70" si="22">B4*30*Z4/100</f>
        <v>3741.039</v>
      </c>
      <c r="AA42" s="3">
        <f t="shared" ref="AA42:AA70" si="23">B4*31*AA4/100</f>
        <v>3877.945</v>
      </c>
      <c r="AB42" s="3">
        <f t="shared" ref="AB42:AB70" si="24">B4*31*AB4/100</f>
        <v>3594.8747</v>
      </c>
      <c r="AC42" s="3">
        <f t="shared" ref="AC42:AC70" si="25">B4*28*AC4/100</f>
        <v>3314.9032</v>
      </c>
      <c r="AD42" s="3">
        <f t="shared" ref="AD42:AD70" si="26">B4*31*AD4/100</f>
        <v>3862.9844</v>
      </c>
      <c r="AE42" s="3">
        <f t="shared" ref="AE42:AE70" si="27">B4*30*AE4/100</f>
        <v>3662.934</v>
      </c>
      <c r="AF42" s="3">
        <f t="shared" ref="AF42:AF70" si="28">B4*31*AF4/100</f>
        <v>3740.15</v>
      </c>
      <c r="AG42" s="3">
        <f t="shared" ref="AG42:AG70" si="29">B4*30*AG4/100</f>
        <v>3785.997</v>
      </c>
      <c r="AH42" s="3">
        <f t="shared" ref="AH42:AH70" si="30">B4*31*AH4/100</f>
        <v>3898.8111</v>
      </c>
      <c r="AI42" s="3">
        <f t="shared" ref="AI42:AI70" si="31">B4*31*AI4/100</f>
        <v>3888.9686</v>
      </c>
      <c r="AJ42" s="3">
        <f t="shared" ref="AJ42:AJ70" si="32">B4*30*AJ4/100</f>
        <v>3766.185</v>
      </c>
      <c r="AK42" s="3">
        <f t="shared" ref="AK42:AK70" si="33">B4*31*AK4/100</f>
        <v>3825.1892</v>
      </c>
      <c r="AL42" s="3">
        <f t="shared" ref="AL42:AL70" si="34">B4*30*AL4/100</f>
        <v>3803.142</v>
      </c>
      <c r="AM42" s="3">
        <f t="shared" ref="AM42:AM70" si="35">B4*31*AM4/100</f>
        <v>3879.1261</v>
      </c>
    </row>
    <row r="43" spans="4:39">
      <c r="D43" s="3">
        <f t="shared" si="0"/>
        <v>3209.43</v>
      </c>
      <c r="E43" s="3">
        <f t="shared" si="1"/>
        <v>3611.72</v>
      </c>
      <c r="F43" s="3">
        <f t="shared" si="2"/>
        <v>4277.07</v>
      </c>
      <c r="G43" s="3">
        <f t="shared" si="3"/>
        <v>4131</v>
      </c>
      <c r="H43" s="3">
        <f t="shared" si="4"/>
        <v>4268.7</v>
      </c>
      <c r="I43" s="3">
        <f t="shared" si="5"/>
        <v>4137.6</v>
      </c>
      <c r="J43" s="3">
        <f t="shared" si="6"/>
        <v>4316.44</v>
      </c>
      <c r="K43" s="3">
        <f t="shared" si="7"/>
        <v>4350.85</v>
      </c>
      <c r="L43" s="3">
        <f t="shared" si="8"/>
        <v>3093</v>
      </c>
      <c r="M43" s="3">
        <f t="shared" si="9"/>
        <v>3134.1</v>
      </c>
      <c r="N43" s="3">
        <f t="shared" si="10"/>
        <v>3309.9</v>
      </c>
      <c r="O43" s="3">
        <f t="shared" si="11"/>
        <v>3324.13</v>
      </c>
      <c r="P43" s="3">
        <f t="shared" si="12"/>
        <v>3303.05</v>
      </c>
      <c r="Q43" s="3">
        <f t="shared" si="13"/>
        <v>2163.11</v>
      </c>
      <c r="R43" s="3">
        <f t="shared" si="14"/>
        <v>3366.91</v>
      </c>
      <c r="S43" s="3">
        <f t="shared" si="15"/>
        <v>3246.9</v>
      </c>
      <c r="T43" s="3">
        <f t="shared" si="16"/>
        <v>3134.1</v>
      </c>
      <c r="U43" s="3">
        <f t="shared" si="17"/>
        <v>2951.1</v>
      </c>
      <c r="V43" s="3">
        <f t="shared" si="18"/>
        <v>3373.11</v>
      </c>
      <c r="W43" s="3">
        <f t="shared" si="19"/>
        <v>3337.15</v>
      </c>
      <c r="X43" s="3">
        <f t="shared" si="20"/>
        <v>3237.9</v>
      </c>
      <c r="Y43" s="3">
        <f t="shared" si="21"/>
        <v>3233.92</v>
      </c>
      <c r="Z43" s="3">
        <f t="shared" si="22"/>
        <v>3366</v>
      </c>
      <c r="AA43" s="3">
        <f t="shared" si="23"/>
        <v>3422.4</v>
      </c>
      <c r="AB43" s="3">
        <f t="shared" si="24"/>
        <v>2890.13</v>
      </c>
      <c r="AC43" s="3">
        <f t="shared" si="25"/>
        <v>2905</v>
      </c>
      <c r="AD43" s="3">
        <f t="shared" si="26"/>
        <v>2970.11</v>
      </c>
      <c r="AE43" s="3">
        <f t="shared" si="27"/>
        <v>3090.9</v>
      </c>
      <c r="AF43" s="3">
        <f t="shared" si="28"/>
        <v>3090.08</v>
      </c>
      <c r="AG43" s="3">
        <f t="shared" si="29"/>
        <v>3167.1</v>
      </c>
      <c r="AH43" s="3">
        <f t="shared" si="30"/>
        <v>3422.09</v>
      </c>
      <c r="AI43" s="3">
        <f t="shared" si="31"/>
        <v>3397.91</v>
      </c>
      <c r="AJ43" s="3">
        <f t="shared" si="32"/>
        <v>3360.9</v>
      </c>
      <c r="AK43" s="3">
        <f t="shared" si="33"/>
        <v>3237.02</v>
      </c>
      <c r="AL43" s="3">
        <f t="shared" si="34"/>
        <v>3446.1</v>
      </c>
      <c r="AM43" s="3">
        <f t="shared" si="35"/>
        <v>3441.93</v>
      </c>
    </row>
    <row r="44" spans="4:39">
      <c r="D44" s="3">
        <f t="shared" si="0"/>
        <v>4388.0004</v>
      </c>
      <c r="E44" s="3">
        <f t="shared" si="1"/>
        <v>4596.1328</v>
      </c>
      <c r="F44" s="3">
        <f t="shared" si="2"/>
        <v>5050.954</v>
      </c>
      <c r="G44" s="3">
        <f t="shared" si="3"/>
        <v>4694.172</v>
      </c>
      <c r="H44" s="3">
        <f t="shared" si="4"/>
        <v>4796.754</v>
      </c>
      <c r="I44" s="3">
        <f t="shared" si="5"/>
        <v>4766.004</v>
      </c>
      <c r="J44" s="3">
        <f t="shared" si="6"/>
        <v>4875.0476</v>
      </c>
      <c r="K44" s="3">
        <f t="shared" si="7"/>
        <v>4785.0608</v>
      </c>
      <c r="L44" s="3">
        <f t="shared" si="8"/>
        <v>4332.06</v>
      </c>
      <c r="M44" s="3">
        <f t="shared" si="9"/>
        <v>4403.2524</v>
      </c>
      <c r="N44" s="3">
        <f t="shared" si="10"/>
        <v>4821.108</v>
      </c>
      <c r="O44" s="3">
        <f t="shared" si="11"/>
        <v>5075.8656</v>
      </c>
      <c r="P44" s="3">
        <f t="shared" si="12"/>
        <v>5115.0124</v>
      </c>
      <c r="Q44" s="3">
        <f t="shared" si="13"/>
        <v>3857.116</v>
      </c>
      <c r="R44" s="3">
        <f t="shared" si="14"/>
        <v>5077.8992</v>
      </c>
      <c r="S44" s="3">
        <f t="shared" si="15"/>
        <v>4870.8</v>
      </c>
      <c r="T44" s="3">
        <f t="shared" si="16"/>
        <v>4947.7488</v>
      </c>
      <c r="U44" s="3">
        <f t="shared" si="17"/>
        <v>4775.844</v>
      </c>
      <c r="V44" s="3">
        <f t="shared" si="18"/>
        <v>4984.862</v>
      </c>
      <c r="W44" s="3">
        <f t="shared" si="19"/>
        <v>4977.236</v>
      </c>
      <c r="X44" s="3">
        <f t="shared" si="20"/>
        <v>4666.128</v>
      </c>
      <c r="Y44" s="3">
        <f t="shared" si="21"/>
        <v>3663.5304</v>
      </c>
      <c r="Z44" s="3">
        <f t="shared" si="22"/>
        <v>3966.012</v>
      </c>
      <c r="AA44" s="3">
        <f t="shared" si="23"/>
        <v>5160.26</v>
      </c>
      <c r="AB44" s="3">
        <f t="shared" si="24"/>
        <v>4560.8564</v>
      </c>
      <c r="AC44" s="3">
        <f t="shared" si="25"/>
        <v>4303.1632</v>
      </c>
      <c r="AD44" s="3">
        <f t="shared" si="26"/>
        <v>4769.8088</v>
      </c>
      <c r="AE44" s="3">
        <f t="shared" si="27"/>
        <v>4630.212</v>
      </c>
      <c r="AF44" s="3">
        <f t="shared" si="28"/>
        <v>4816.0732</v>
      </c>
      <c r="AG44" s="3">
        <f t="shared" si="29"/>
        <v>4768.956</v>
      </c>
      <c r="AH44" s="3">
        <f t="shared" si="30"/>
        <v>4888.7744</v>
      </c>
      <c r="AI44" s="3">
        <f t="shared" si="31"/>
        <v>4844.0352</v>
      </c>
      <c r="AJ44" s="3">
        <f t="shared" si="32"/>
        <v>4764.036</v>
      </c>
      <c r="AK44" s="3">
        <f t="shared" si="33"/>
        <v>4735.746</v>
      </c>
      <c r="AL44" s="3">
        <f t="shared" si="34"/>
        <v>4994.784</v>
      </c>
      <c r="AM44" s="3">
        <f t="shared" si="35"/>
        <v>5159.2432</v>
      </c>
    </row>
    <row r="45" spans="4:39">
      <c r="D45" s="3">
        <f t="shared" si="0"/>
        <v>3094.5037</v>
      </c>
      <c r="E45" s="3">
        <f t="shared" si="1"/>
        <v>4025.3836</v>
      </c>
      <c r="F45" s="3">
        <f t="shared" si="2"/>
        <v>4440.4369</v>
      </c>
      <c r="G45" s="3">
        <f t="shared" si="3"/>
        <v>4119.687</v>
      </c>
      <c r="H45" s="3">
        <f t="shared" si="4"/>
        <v>4022.7646</v>
      </c>
      <c r="I45" s="3">
        <f t="shared" si="5"/>
        <v>3816.756</v>
      </c>
      <c r="J45" s="3">
        <f t="shared" si="6"/>
        <v>3799.3445</v>
      </c>
      <c r="K45" s="3">
        <f t="shared" si="7"/>
        <v>3326.0427</v>
      </c>
      <c r="L45" s="3">
        <f t="shared" si="8"/>
        <v>3063.066</v>
      </c>
      <c r="M45" s="3">
        <f t="shared" si="9"/>
        <v>2903.8599</v>
      </c>
      <c r="N45" s="3">
        <f t="shared" si="10"/>
        <v>3100.023</v>
      </c>
      <c r="O45" s="3">
        <f t="shared" si="11"/>
        <v>3256.8817</v>
      </c>
      <c r="P45" s="3">
        <f t="shared" si="12"/>
        <v>3360.9239</v>
      </c>
      <c r="Q45" s="3">
        <f t="shared" si="13"/>
        <v>2259.9642</v>
      </c>
      <c r="R45" s="3">
        <f t="shared" si="14"/>
        <v>3679.0645</v>
      </c>
      <c r="S45" s="3">
        <f t="shared" si="15"/>
        <v>3327.003</v>
      </c>
      <c r="T45" s="3">
        <f t="shared" si="16"/>
        <v>3408.1338</v>
      </c>
      <c r="U45" s="3">
        <f t="shared" si="17"/>
        <v>3336.024</v>
      </c>
      <c r="V45" s="3">
        <f t="shared" si="18"/>
        <v>3603.8895</v>
      </c>
      <c r="W45" s="3">
        <f t="shared" si="19"/>
        <v>3624.0364</v>
      </c>
      <c r="X45" s="3">
        <f t="shared" si="20"/>
        <v>3347.082</v>
      </c>
      <c r="Y45" s="3">
        <f t="shared" si="21"/>
        <v>3341.9798</v>
      </c>
      <c r="Z45" s="3">
        <f t="shared" si="22"/>
        <v>3514.116</v>
      </c>
      <c r="AA45" s="3">
        <f t="shared" si="23"/>
        <v>3590.358</v>
      </c>
      <c r="AB45" s="3">
        <f t="shared" si="24"/>
        <v>2665.1041</v>
      </c>
      <c r="AC45" s="3">
        <f t="shared" si="25"/>
        <v>3053.0556</v>
      </c>
      <c r="AD45" s="3">
        <f t="shared" si="26"/>
        <v>3188.9235</v>
      </c>
      <c r="AE45" s="3">
        <f t="shared" si="27"/>
        <v>3146.874</v>
      </c>
      <c r="AF45" s="3">
        <f t="shared" si="28"/>
        <v>3055.112</v>
      </c>
      <c r="AG45" s="3">
        <f t="shared" si="29"/>
        <v>3155.022</v>
      </c>
      <c r="AH45" s="3">
        <f t="shared" si="30"/>
        <v>3344.9868</v>
      </c>
      <c r="AI45" s="3">
        <f t="shared" si="31"/>
        <v>3199.1473</v>
      </c>
      <c r="AJ45" s="3">
        <f t="shared" si="32"/>
        <v>3274.914</v>
      </c>
      <c r="AK45" s="3">
        <f t="shared" si="33"/>
        <v>3052.105</v>
      </c>
      <c r="AL45" s="3">
        <f t="shared" si="34"/>
        <v>3485.889</v>
      </c>
      <c r="AM45" s="3">
        <f t="shared" si="35"/>
        <v>3562.0922</v>
      </c>
    </row>
    <row r="46" spans="4:39">
      <c r="D46" s="3">
        <f t="shared" si="0"/>
        <v>917.073</v>
      </c>
      <c r="E46" s="3">
        <f t="shared" si="1"/>
        <v>1672.9272</v>
      </c>
      <c r="F46" s="3">
        <f t="shared" si="2"/>
        <v>1985.9313</v>
      </c>
      <c r="G46" s="3">
        <f t="shared" si="3"/>
        <v>1587.051</v>
      </c>
      <c r="H46" s="3">
        <f t="shared" si="4"/>
        <v>1729.0095</v>
      </c>
      <c r="I46" s="3">
        <f t="shared" si="5"/>
        <v>1612.017</v>
      </c>
      <c r="J46" s="3">
        <f t="shared" si="6"/>
        <v>1736.0775</v>
      </c>
      <c r="K46" s="3">
        <f t="shared" si="7"/>
        <v>1504.9539</v>
      </c>
      <c r="L46" s="3">
        <f t="shared" si="8"/>
        <v>1482.057</v>
      </c>
      <c r="M46" s="3">
        <f t="shared" si="9"/>
        <v>1439.0448</v>
      </c>
      <c r="N46" s="3">
        <f t="shared" si="10"/>
        <v>1684.008</v>
      </c>
      <c r="O46" s="3">
        <f t="shared" si="11"/>
        <v>1398.0504</v>
      </c>
      <c r="P46" s="3">
        <f t="shared" si="12"/>
        <v>1501.0665</v>
      </c>
      <c r="Q46" s="3">
        <f t="shared" si="13"/>
        <v>699.0537</v>
      </c>
      <c r="R46" s="3">
        <f t="shared" si="14"/>
        <v>1718.0541</v>
      </c>
      <c r="S46" s="3">
        <f t="shared" si="15"/>
        <v>1442.043</v>
      </c>
      <c r="T46" s="3">
        <f t="shared" si="16"/>
        <v>1450.0002</v>
      </c>
      <c r="U46" s="3">
        <f t="shared" si="17"/>
        <v>1292.931</v>
      </c>
      <c r="V46" s="3">
        <f t="shared" si="18"/>
        <v>1372.0755</v>
      </c>
      <c r="W46" s="3">
        <f t="shared" si="19"/>
        <v>1151.0238</v>
      </c>
      <c r="X46" s="3">
        <f t="shared" si="20"/>
        <v>1294.983</v>
      </c>
      <c r="Y46" s="3">
        <f t="shared" si="21"/>
        <v>1403.8815</v>
      </c>
      <c r="Z46" s="3">
        <f t="shared" si="22"/>
        <v>1626.039</v>
      </c>
      <c r="AA46" s="3">
        <f t="shared" si="23"/>
        <v>1733.427</v>
      </c>
      <c r="AB46" s="3">
        <f t="shared" si="24"/>
        <v>1230.0087</v>
      </c>
      <c r="AC46" s="3">
        <f t="shared" si="25"/>
        <v>1249.9872</v>
      </c>
      <c r="AD46" s="3">
        <f t="shared" si="26"/>
        <v>1401.0543</v>
      </c>
      <c r="AE46" s="3">
        <f t="shared" si="27"/>
        <v>1241.973</v>
      </c>
      <c r="AF46" s="3">
        <f t="shared" si="28"/>
        <v>1254.9234</v>
      </c>
      <c r="AG46" s="3">
        <f t="shared" si="29"/>
        <v>1279.08</v>
      </c>
      <c r="AH46" s="3">
        <f t="shared" si="30"/>
        <v>1271.0031</v>
      </c>
      <c r="AI46" s="3">
        <f t="shared" si="31"/>
        <v>1277.0109</v>
      </c>
      <c r="AJ46" s="3">
        <f t="shared" si="32"/>
        <v>1403.055</v>
      </c>
      <c r="AK46" s="3">
        <f t="shared" si="33"/>
        <v>1227.0048</v>
      </c>
      <c r="AL46" s="3">
        <f t="shared" si="34"/>
        <v>1548.918</v>
      </c>
      <c r="AM46" s="3">
        <f t="shared" si="35"/>
        <v>1460.9556</v>
      </c>
    </row>
    <row r="47" spans="4:39">
      <c r="D47" s="3">
        <f t="shared" si="0"/>
        <v>1755.468</v>
      </c>
      <c r="E47" s="3">
        <f t="shared" si="1"/>
        <v>2434.32</v>
      </c>
      <c r="F47" s="3">
        <f t="shared" si="2"/>
        <v>2792.604</v>
      </c>
      <c r="G47" s="3">
        <f t="shared" si="3"/>
        <v>2727.36</v>
      </c>
      <c r="H47" s="3">
        <f t="shared" si="4"/>
        <v>3089.088</v>
      </c>
      <c r="I47" s="3">
        <f t="shared" si="5"/>
        <v>3122.82</v>
      </c>
      <c r="J47" s="3">
        <f t="shared" si="6"/>
        <v>3513.168</v>
      </c>
      <c r="K47" s="3">
        <f t="shared" si="7"/>
        <v>3353.766</v>
      </c>
      <c r="L47" s="3">
        <f t="shared" si="8"/>
        <v>3165.84</v>
      </c>
      <c r="M47" s="3">
        <f t="shared" si="9"/>
        <v>3149.91</v>
      </c>
      <c r="N47" s="3">
        <f t="shared" si="10"/>
        <v>3107.16</v>
      </c>
      <c r="O47" s="3">
        <f t="shared" si="11"/>
        <v>3069.372</v>
      </c>
      <c r="P47" s="3">
        <f t="shared" si="12"/>
        <v>3377.388</v>
      </c>
      <c r="Q47" s="3">
        <f t="shared" si="13"/>
        <v>2216.064</v>
      </c>
      <c r="R47" s="3">
        <f t="shared" si="14"/>
        <v>3341.304</v>
      </c>
      <c r="S47" s="3">
        <f t="shared" si="15"/>
        <v>2174.04</v>
      </c>
      <c r="T47" s="3">
        <f t="shared" si="16"/>
        <v>2051.022</v>
      </c>
      <c r="U47" s="3">
        <f t="shared" si="17"/>
        <v>2217.06</v>
      </c>
      <c r="V47" s="3">
        <f t="shared" si="18"/>
        <v>2304.912</v>
      </c>
      <c r="W47" s="3">
        <f t="shared" si="19"/>
        <v>1830.054</v>
      </c>
      <c r="X47" s="3">
        <f t="shared" si="20"/>
        <v>2028.96</v>
      </c>
      <c r="Y47" s="3">
        <f t="shared" si="21"/>
        <v>2204.844</v>
      </c>
      <c r="Z47" s="3">
        <f t="shared" si="22"/>
        <v>2433.06</v>
      </c>
      <c r="AA47" s="3">
        <f t="shared" si="23"/>
        <v>2583.54</v>
      </c>
      <c r="AB47" s="3">
        <f t="shared" si="24"/>
        <v>1902.966</v>
      </c>
      <c r="AC47" s="3">
        <f t="shared" si="25"/>
        <v>2116.968</v>
      </c>
      <c r="AD47" s="3">
        <f t="shared" si="26"/>
        <v>1910.964</v>
      </c>
      <c r="AE47" s="3">
        <f t="shared" si="27"/>
        <v>2041.02</v>
      </c>
      <c r="AF47" s="3">
        <f t="shared" si="28"/>
        <v>1987.968</v>
      </c>
      <c r="AG47" s="3">
        <f t="shared" si="29"/>
        <v>1936.08</v>
      </c>
      <c r="AH47" s="3">
        <f t="shared" si="30"/>
        <v>2375.964</v>
      </c>
      <c r="AI47" s="3">
        <f t="shared" si="31"/>
        <v>2152.95</v>
      </c>
      <c r="AJ47" s="3">
        <f t="shared" si="32"/>
        <v>2035.98</v>
      </c>
      <c r="AK47" s="3">
        <f t="shared" si="33"/>
        <v>2053.998</v>
      </c>
      <c r="AL47" s="3">
        <f t="shared" si="34"/>
        <v>2181.96</v>
      </c>
      <c r="AM47" s="3">
        <f t="shared" si="35"/>
        <v>2316.072</v>
      </c>
    </row>
    <row r="48" spans="4:39">
      <c r="D48" s="3">
        <f t="shared" si="0"/>
        <v>867.008</v>
      </c>
      <c r="E48" s="3">
        <f t="shared" si="1"/>
        <v>1334.032</v>
      </c>
      <c r="F48" s="3">
        <f t="shared" si="2"/>
        <v>1412.98</v>
      </c>
      <c r="G48" s="3">
        <f t="shared" si="3"/>
        <v>1377.96</v>
      </c>
      <c r="H48" s="3">
        <f t="shared" si="4"/>
        <v>1403.06</v>
      </c>
      <c r="I48" s="3">
        <f t="shared" si="5"/>
        <v>1401.96</v>
      </c>
      <c r="J48" s="3">
        <f t="shared" si="6"/>
        <v>1419.056</v>
      </c>
      <c r="K48" s="3">
        <f t="shared" si="7"/>
        <v>1452.04</v>
      </c>
      <c r="L48" s="3">
        <f t="shared" si="8"/>
        <v>1425.96</v>
      </c>
      <c r="M48" s="3">
        <f t="shared" si="9"/>
        <v>1430.96</v>
      </c>
      <c r="N48" s="3">
        <f t="shared" si="10"/>
        <v>1505.04</v>
      </c>
      <c r="O48" s="3">
        <f t="shared" si="11"/>
        <v>1490.976</v>
      </c>
      <c r="P48" s="3">
        <f t="shared" si="12"/>
        <v>1550.992</v>
      </c>
      <c r="Q48" s="3">
        <f t="shared" si="13"/>
        <v>892.04</v>
      </c>
      <c r="R48" s="3">
        <f t="shared" si="14"/>
        <v>1524.952</v>
      </c>
      <c r="S48" s="3">
        <f t="shared" si="15"/>
        <v>1479</v>
      </c>
      <c r="T48" s="3">
        <f t="shared" si="16"/>
        <v>1463.944</v>
      </c>
      <c r="U48" s="3">
        <f t="shared" si="17"/>
        <v>1385.04</v>
      </c>
      <c r="V48" s="3">
        <f t="shared" si="18"/>
        <v>1549.008</v>
      </c>
      <c r="W48" s="3">
        <f t="shared" si="19"/>
        <v>1490.976</v>
      </c>
      <c r="X48" s="3">
        <f t="shared" si="20"/>
        <v>1323</v>
      </c>
      <c r="Y48" s="3">
        <f t="shared" si="21"/>
        <v>1298.9</v>
      </c>
      <c r="Z48" s="3">
        <f t="shared" si="22"/>
        <v>1452</v>
      </c>
      <c r="AA48" s="3">
        <f t="shared" si="23"/>
        <v>1568.6</v>
      </c>
      <c r="AB48" s="3">
        <f t="shared" si="24"/>
        <v>1173.04</v>
      </c>
      <c r="AC48" s="3">
        <f t="shared" si="25"/>
        <v>1192.016</v>
      </c>
      <c r="AD48" s="3">
        <f t="shared" si="26"/>
        <v>1419.056</v>
      </c>
      <c r="AE48" s="3">
        <f t="shared" si="27"/>
        <v>1394.04</v>
      </c>
      <c r="AF48" s="3">
        <f t="shared" si="28"/>
        <v>1301.008</v>
      </c>
      <c r="AG48" s="3">
        <f t="shared" si="29"/>
        <v>1434</v>
      </c>
      <c r="AH48" s="3">
        <f t="shared" si="30"/>
        <v>1513.048</v>
      </c>
      <c r="AI48" s="3">
        <f t="shared" si="31"/>
        <v>1603.94</v>
      </c>
      <c r="AJ48" s="3">
        <f t="shared" si="32"/>
        <v>1497.96</v>
      </c>
      <c r="AK48" s="3">
        <f t="shared" si="33"/>
        <v>1274.968</v>
      </c>
      <c r="AL48" s="3">
        <f t="shared" si="34"/>
        <v>1710</v>
      </c>
      <c r="AM48" s="3">
        <f t="shared" si="35"/>
        <v>1662.964</v>
      </c>
    </row>
    <row r="49" spans="4:39">
      <c r="D49" s="3">
        <f t="shared" si="0"/>
        <v>753.641</v>
      </c>
      <c r="E49" s="3">
        <f t="shared" si="1"/>
        <v>1153.852</v>
      </c>
      <c r="F49" s="3">
        <f t="shared" si="2"/>
        <v>1247.2075</v>
      </c>
      <c r="G49" s="3">
        <f t="shared" si="3"/>
        <v>1170.12</v>
      </c>
      <c r="H49" s="3">
        <f t="shared" si="4"/>
        <v>1154.9825</v>
      </c>
      <c r="I49" s="3">
        <f t="shared" si="5"/>
        <v>983.745</v>
      </c>
      <c r="J49" s="3">
        <f t="shared" si="6"/>
        <v>1080.009</v>
      </c>
      <c r="K49" s="3">
        <f t="shared" si="7"/>
        <v>945.035</v>
      </c>
      <c r="L49" s="3">
        <f t="shared" si="8"/>
        <v>866.985</v>
      </c>
      <c r="M49" s="3">
        <f t="shared" si="9"/>
        <v>789.012</v>
      </c>
      <c r="N49" s="3">
        <f t="shared" si="10"/>
        <v>1113</v>
      </c>
      <c r="O49" s="3">
        <f t="shared" si="11"/>
        <v>1061.0215</v>
      </c>
      <c r="P49" s="3">
        <f t="shared" si="12"/>
        <v>1180.046</v>
      </c>
      <c r="Q49" s="3">
        <f t="shared" si="13"/>
        <v>693.042</v>
      </c>
      <c r="R49" s="3">
        <f t="shared" si="14"/>
        <v>1264.025</v>
      </c>
      <c r="S49" s="3">
        <f t="shared" si="15"/>
        <v>1160.04</v>
      </c>
      <c r="T49" s="3">
        <f t="shared" si="16"/>
        <v>1129.051</v>
      </c>
      <c r="U49" s="3">
        <f t="shared" si="17"/>
        <v>1193.01</v>
      </c>
      <c r="V49" s="3">
        <f t="shared" si="18"/>
        <v>1237.0085</v>
      </c>
      <c r="W49" s="3">
        <f t="shared" si="19"/>
        <v>1191.0045</v>
      </c>
      <c r="X49" s="3">
        <f t="shared" si="20"/>
        <v>948.045</v>
      </c>
      <c r="Y49" s="3">
        <f t="shared" si="21"/>
        <v>1031.9435</v>
      </c>
      <c r="Z49" s="3">
        <f t="shared" si="22"/>
        <v>1193.955</v>
      </c>
      <c r="AA49" s="3">
        <f t="shared" si="23"/>
        <v>1229.305</v>
      </c>
      <c r="AB49" s="3">
        <f t="shared" si="24"/>
        <v>913.0275</v>
      </c>
      <c r="AC49" s="3">
        <f t="shared" si="25"/>
        <v>971.964</v>
      </c>
      <c r="AD49" s="3">
        <f t="shared" si="26"/>
        <v>1066.0125</v>
      </c>
      <c r="AE49" s="3">
        <f t="shared" si="27"/>
        <v>1160.985</v>
      </c>
      <c r="AF49" s="3">
        <f t="shared" si="28"/>
        <v>1098.02</v>
      </c>
      <c r="AG49" s="3">
        <f t="shared" si="29"/>
        <v>1090.95</v>
      </c>
      <c r="AH49" s="3">
        <f t="shared" si="30"/>
        <v>1196.972</v>
      </c>
      <c r="AI49" s="3">
        <f t="shared" si="31"/>
        <v>1135.995</v>
      </c>
      <c r="AJ49" s="3">
        <f t="shared" si="32"/>
        <v>1122.975</v>
      </c>
      <c r="AK49" s="3">
        <f t="shared" si="33"/>
        <v>983.9865</v>
      </c>
      <c r="AL49" s="3">
        <f t="shared" si="34"/>
        <v>1130.01</v>
      </c>
      <c r="AM49" s="3">
        <f t="shared" si="35"/>
        <v>1233.9705</v>
      </c>
    </row>
    <row r="50" spans="4:39">
      <c r="D50" s="3">
        <f t="shared" si="0"/>
        <v>979.011</v>
      </c>
      <c r="E50" s="3">
        <f t="shared" si="1"/>
        <v>1277.01</v>
      </c>
      <c r="F50" s="3">
        <f t="shared" si="2"/>
        <v>1359.009</v>
      </c>
      <c r="G50" s="3">
        <f t="shared" si="3"/>
        <v>1239.03</v>
      </c>
      <c r="H50" s="3">
        <f t="shared" si="4"/>
        <v>1115.0235</v>
      </c>
      <c r="I50" s="3">
        <f t="shared" si="5"/>
        <v>1119.96</v>
      </c>
      <c r="J50" s="3">
        <f t="shared" si="6"/>
        <v>1205.9775</v>
      </c>
      <c r="K50" s="3">
        <f t="shared" si="7"/>
        <v>1222.9965</v>
      </c>
      <c r="L50" s="3">
        <f t="shared" si="8"/>
        <v>1053</v>
      </c>
      <c r="M50" s="3">
        <f t="shared" si="9"/>
        <v>1143.063</v>
      </c>
      <c r="N50" s="3">
        <f t="shared" si="10"/>
        <v>1215</v>
      </c>
      <c r="O50" s="3">
        <f t="shared" si="11"/>
        <v>1175.0085</v>
      </c>
      <c r="P50" s="3">
        <f t="shared" si="12"/>
        <v>1098.0045</v>
      </c>
      <c r="Q50" s="3">
        <f t="shared" si="13"/>
        <v>710.964</v>
      </c>
      <c r="R50" s="3">
        <f t="shared" si="14"/>
        <v>1340.037</v>
      </c>
      <c r="S50" s="3">
        <f t="shared" si="15"/>
        <v>1198.935</v>
      </c>
      <c r="T50" s="3">
        <f t="shared" si="16"/>
        <v>1330.9695</v>
      </c>
      <c r="U50" s="3">
        <f t="shared" si="17"/>
        <v>1458.945</v>
      </c>
      <c r="V50" s="3">
        <f t="shared" si="18"/>
        <v>1661.0265</v>
      </c>
      <c r="W50" s="3">
        <f t="shared" si="19"/>
        <v>1602.9945</v>
      </c>
      <c r="X50" s="3">
        <f t="shared" si="20"/>
        <v>1333.935</v>
      </c>
      <c r="Y50" s="3">
        <f t="shared" si="21"/>
        <v>1251.873</v>
      </c>
      <c r="Z50" s="3">
        <f t="shared" si="22"/>
        <v>1489.05</v>
      </c>
      <c r="AA50" s="3">
        <f t="shared" si="23"/>
        <v>1468.935</v>
      </c>
      <c r="AB50" s="3">
        <f t="shared" si="24"/>
        <v>1217.9745</v>
      </c>
      <c r="AC50" s="3">
        <f t="shared" si="25"/>
        <v>1237.95</v>
      </c>
      <c r="AD50" s="3">
        <f t="shared" si="26"/>
        <v>1272.519</v>
      </c>
      <c r="AE50" s="3">
        <f t="shared" si="27"/>
        <v>1249.02</v>
      </c>
      <c r="AF50" s="3">
        <f t="shared" si="28"/>
        <v>1074.0105</v>
      </c>
      <c r="AG50" s="3">
        <f t="shared" si="29"/>
        <v>1085.94</v>
      </c>
      <c r="AH50" s="3">
        <f t="shared" si="30"/>
        <v>1414.9485</v>
      </c>
      <c r="AI50" s="3">
        <f t="shared" si="31"/>
        <v>943.9965</v>
      </c>
      <c r="AJ50" s="3">
        <f t="shared" si="32"/>
        <v>1114.965</v>
      </c>
      <c r="AK50" s="3">
        <f t="shared" si="33"/>
        <v>1026.999</v>
      </c>
      <c r="AL50" s="3">
        <f t="shared" si="34"/>
        <v>1266.975</v>
      </c>
      <c r="AM50" s="3">
        <f t="shared" si="35"/>
        <v>1353.0105</v>
      </c>
    </row>
    <row r="51" spans="4:39">
      <c r="D51" s="3">
        <f t="shared" si="0"/>
        <v>890.01</v>
      </c>
      <c r="E51" s="3">
        <f t="shared" si="1"/>
        <v>1491.966</v>
      </c>
      <c r="F51" s="3">
        <f t="shared" si="2"/>
        <v>1520.9685</v>
      </c>
      <c r="G51" s="3">
        <f t="shared" si="3"/>
        <v>1269</v>
      </c>
      <c r="H51" s="3">
        <f t="shared" si="4"/>
        <v>1145.9925</v>
      </c>
      <c r="I51" s="3">
        <f t="shared" si="5"/>
        <v>1202.985</v>
      </c>
      <c r="J51" s="3">
        <f t="shared" si="6"/>
        <v>1185.0525</v>
      </c>
      <c r="K51" s="3">
        <f t="shared" si="7"/>
        <v>1311.9975</v>
      </c>
      <c r="L51" s="3">
        <f t="shared" si="8"/>
        <v>1104.975</v>
      </c>
      <c r="M51" s="3">
        <f t="shared" si="9"/>
        <v>1282.005</v>
      </c>
      <c r="N51" s="3">
        <f t="shared" si="10"/>
        <v>1124.01</v>
      </c>
      <c r="O51" s="3">
        <f t="shared" si="11"/>
        <v>1068.012</v>
      </c>
      <c r="P51" s="3">
        <f t="shared" si="12"/>
        <v>1028.952</v>
      </c>
      <c r="Q51" s="3">
        <f t="shared" si="13"/>
        <v>603.954</v>
      </c>
      <c r="R51" s="3">
        <f t="shared" si="14"/>
        <v>1347.012</v>
      </c>
      <c r="S51" s="3">
        <f t="shared" si="15"/>
        <v>1234.98</v>
      </c>
      <c r="T51" s="3">
        <f t="shared" si="16"/>
        <v>1317.996</v>
      </c>
      <c r="U51" s="3">
        <f t="shared" si="17"/>
        <v>1040.985</v>
      </c>
      <c r="V51" s="3">
        <f t="shared" si="18"/>
        <v>1442.988</v>
      </c>
      <c r="W51" s="3">
        <f t="shared" si="19"/>
        <v>1417.041</v>
      </c>
      <c r="X51" s="3">
        <f t="shared" si="20"/>
        <v>1185.03</v>
      </c>
      <c r="Y51" s="3">
        <f t="shared" si="21"/>
        <v>1337.9445</v>
      </c>
      <c r="Z51" s="3">
        <f t="shared" si="22"/>
        <v>1310.04</v>
      </c>
      <c r="AA51" s="3">
        <f t="shared" si="23"/>
        <v>1474.515</v>
      </c>
      <c r="AB51" s="3">
        <f t="shared" si="24"/>
        <v>1282.9815</v>
      </c>
      <c r="AC51" s="3">
        <f t="shared" si="25"/>
        <v>1032.948</v>
      </c>
      <c r="AD51" s="3">
        <f t="shared" si="26"/>
        <v>1258.011</v>
      </c>
      <c r="AE51" s="3">
        <f t="shared" si="27"/>
        <v>1261.035</v>
      </c>
      <c r="AF51" s="3">
        <f t="shared" si="28"/>
        <v>1157.9895</v>
      </c>
      <c r="AG51" s="3">
        <f t="shared" si="29"/>
        <v>1144.935</v>
      </c>
      <c r="AH51" s="3">
        <f t="shared" si="30"/>
        <v>1224.9495</v>
      </c>
      <c r="AI51" s="3">
        <f t="shared" si="31"/>
        <v>1205.9775</v>
      </c>
      <c r="AJ51" s="3">
        <f t="shared" si="32"/>
        <v>971.055</v>
      </c>
      <c r="AK51" s="3">
        <f t="shared" si="33"/>
        <v>1031.0445</v>
      </c>
      <c r="AL51" s="3">
        <f t="shared" si="34"/>
        <v>1072.035</v>
      </c>
      <c r="AM51" s="3">
        <f t="shared" si="35"/>
        <v>1324.2735</v>
      </c>
    </row>
    <row r="52" spans="4:39">
      <c r="D52" s="3">
        <f t="shared" si="0"/>
        <v>816.9554</v>
      </c>
      <c r="E52" s="3">
        <f t="shared" si="1"/>
        <v>1160.012</v>
      </c>
      <c r="F52" s="3">
        <f t="shared" si="2"/>
        <v>1115.9752</v>
      </c>
      <c r="G52" s="3">
        <f t="shared" si="3"/>
        <v>1165.962</v>
      </c>
      <c r="H52" s="3">
        <f t="shared" si="4"/>
        <v>1054</v>
      </c>
      <c r="I52" s="3">
        <f t="shared" si="5"/>
        <v>991.032</v>
      </c>
      <c r="J52" s="3">
        <f t="shared" si="6"/>
        <v>1271.9672</v>
      </c>
      <c r="K52" s="3">
        <f t="shared" si="7"/>
        <v>1115.9752</v>
      </c>
      <c r="L52" s="3">
        <f t="shared" si="8"/>
        <v>793.05</v>
      </c>
      <c r="M52" s="3">
        <f t="shared" si="9"/>
        <v>1082.985</v>
      </c>
      <c r="N52" s="3">
        <f t="shared" si="10"/>
        <v>1108.026</v>
      </c>
      <c r="O52" s="3">
        <f t="shared" si="11"/>
        <v>1031.0228</v>
      </c>
      <c r="P52" s="3">
        <f t="shared" si="12"/>
        <v>1101.0084</v>
      </c>
      <c r="Q52" s="3">
        <f t="shared" si="13"/>
        <v>741.965</v>
      </c>
      <c r="R52" s="3">
        <f t="shared" si="14"/>
        <v>1234.0232</v>
      </c>
      <c r="S52" s="3">
        <f t="shared" si="15"/>
        <v>1144.95</v>
      </c>
      <c r="T52" s="3">
        <f t="shared" si="16"/>
        <v>954.1862</v>
      </c>
      <c r="U52" s="3">
        <f t="shared" si="17"/>
        <v>1148.01</v>
      </c>
      <c r="V52" s="3">
        <f t="shared" si="18"/>
        <v>1185.9608</v>
      </c>
      <c r="W52" s="3">
        <f t="shared" si="19"/>
        <v>1045.041</v>
      </c>
      <c r="X52" s="3">
        <f t="shared" si="20"/>
        <v>944.01</v>
      </c>
      <c r="Y52" s="3">
        <f t="shared" si="21"/>
        <v>1091.944</v>
      </c>
      <c r="Z52" s="3">
        <f t="shared" si="22"/>
        <v>1077.018</v>
      </c>
      <c r="AA52" s="3">
        <f t="shared" si="23"/>
        <v>1041.352</v>
      </c>
      <c r="AB52" s="3">
        <f t="shared" si="24"/>
        <v>1033.0254</v>
      </c>
      <c r="AC52" s="3">
        <f t="shared" si="25"/>
        <v>876.0304</v>
      </c>
      <c r="AD52" s="3">
        <f t="shared" si="26"/>
        <v>826.9684</v>
      </c>
      <c r="AE52" s="3">
        <f t="shared" si="27"/>
        <v>925.956</v>
      </c>
      <c r="AF52" s="3">
        <f t="shared" si="28"/>
        <v>887.0464</v>
      </c>
      <c r="AG52" s="3">
        <f t="shared" si="29"/>
        <v>1022.958</v>
      </c>
      <c r="AH52" s="3">
        <f t="shared" si="30"/>
        <v>1033.0254</v>
      </c>
      <c r="AI52" s="3">
        <f t="shared" si="31"/>
        <v>779.0114</v>
      </c>
      <c r="AJ52" s="3">
        <f t="shared" si="32"/>
        <v>876.996</v>
      </c>
      <c r="AK52" s="3">
        <f t="shared" si="33"/>
        <v>758.0368</v>
      </c>
      <c r="AL52" s="3">
        <f t="shared" si="34"/>
        <v>900.048</v>
      </c>
      <c r="AM52" s="3">
        <f t="shared" si="35"/>
        <v>1078.0312</v>
      </c>
    </row>
    <row r="53" spans="4:39">
      <c r="D53" s="3">
        <f t="shared" si="0"/>
        <v>1171.459</v>
      </c>
      <c r="E53" s="3">
        <f t="shared" si="1"/>
        <v>1769.5216</v>
      </c>
      <c r="F53" s="3">
        <f t="shared" si="2"/>
        <v>1732.2149</v>
      </c>
      <c r="G53" s="3">
        <f t="shared" si="3"/>
        <v>1379.007</v>
      </c>
      <c r="H53" s="3">
        <f t="shared" si="4"/>
        <v>1175.2379</v>
      </c>
      <c r="I53" s="3">
        <f t="shared" si="5"/>
        <v>1341.801</v>
      </c>
      <c r="J53" s="3">
        <f t="shared" si="6"/>
        <v>1178.031</v>
      </c>
      <c r="K53" s="3">
        <f t="shared" si="7"/>
        <v>1146.4854</v>
      </c>
      <c r="L53" s="3">
        <f t="shared" si="8"/>
        <v>904.71</v>
      </c>
      <c r="M53" s="3">
        <f t="shared" si="9"/>
        <v>1180.8241</v>
      </c>
      <c r="N53" s="3">
        <f t="shared" si="10"/>
        <v>1487.763</v>
      </c>
      <c r="O53" s="3">
        <f t="shared" si="11"/>
        <v>1410.5155</v>
      </c>
      <c r="P53" s="3">
        <f t="shared" si="12"/>
        <v>1399.3431</v>
      </c>
      <c r="Q53" s="3">
        <f t="shared" si="13"/>
        <v>817.3766</v>
      </c>
      <c r="R53" s="3">
        <f t="shared" si="14"/>
        <v>1659.7586</v>
      </c>
      <c r="S53" s="3">
        <f t="shared" si="15"/>
        <v>1524.015</v>
      </c>
      <c r="T53" s="3">
        <f t="shared" si="16"/>
        <v>1325.901</v>
      </c>
      <c r="U53" s="3">
        <f t="shared" si="17"/>
        <v>1334.964</v>
      </c>
      <c r="V53" s="3">
        <f t="shared" si="18"/>
        <v>1333.9517</v>
      </c>
      <c r="W53" s="3">
        <f t="shared" si="19"/>
        <v>1369.9334</v>
      </c>
      <c r="X53" s="3">
        <f t="shared" si="20"/>
        <v>1406.037</v>
      </c>
      <c r="Y53" s="3">
        <f t="shared" si="21"/>
        <v>1426.9455</v>
      </c>
      <c r="Z53" s="3">
        <f t="shared" si="22"/>
        <v>1707.978</v>
      </c>
      <c r="AA53" s="3">
        <f t="shared" si="23"/>
        <v>1593.71</v>
      </c>
      <c r="AB53" s="3">
        <f t="shared" si="24"/>
        <v>1135.9702</v>
      </c>
      <c r="AC53" s="3">
        <f t="shared" si="25"/>
        <v>1324.0248</v>
      </c>
      <c r="AD53" s="3">
        <f t="shared" si="26"/>
        <v>1548.0346</v>
      </c>
      <c r="AE53" s="3">
        <f t="shared" si="27"/>
        <v>1454.055</v>
      </c>
      <c r="AF53" s="3">
        <f t="shared" si="28"/>
        <v>1588.9453</v>
      </c>
      <c r="AG53" s="3">
        <f t="shared" si="29"/>
        <v>1531.011</v>
      </c>
      <c r="AH53" s="3">
        <f t="shared" si="30"/>
        <v>1133.0128</v>
      </c>
      <c r="AI53" s="3">
        <f t="shared" si="31"/>
        <v>1075.0149</v>
      </c>
      <c r="AJ53" s="3">
        <f t="shared" si="32"/>
        <v>1357.065</v>
      </c>
      <c r="AK53" s="3">
        <f t="shared" si="33"/>
        <v>1512.0529</v>
      </c>
      <c r="AL53" s="3">
        <f t="shared" si="34"/>
        <v>1652.964</v>
      </c>
      <c r="AM53" s="3">
        <f t="shared" si="35"/>
        <v>1772.9613</v>
      </c>
    </row>
    <row r="54" spans="4:39">
      <c r="D54" s="3">
        <f t="shared" si="0"/>
        <v>3509.1876</v>
      </c>
      <c r="E54" s="3">
        <f t="shared" si="1"/>
        <v>4669.1456</v>
      </c>
      <c r="F54" s="3">
        <f t="shared" si="2"/>
        <v>5120.9768</v>
      </c>
      <c r="G54" s="3">
        <f t="shared" si="3"/>
        <v>4844.184</v>
      </c>
      <c r="H54" s="3">
        <f t="shared" si="4"/>
        <v>4843.8244</v>
      </c>
      <c r="I54" s="3">
        <f t="shared" si="5"/>
        <v>4856.832</v>
      </c>
      <c r="J54" s="3">
        <f t="shared" si="6"/>
        <v>5084.0744</v>
      </c>
      <c r="K54" s="3">
        <f t="shared" si="7"/>
        <v>5117.1328</v>
      </c>
      <c r="L54" s="3">
        <f t="shared" si="8"/>
        <v>4530.96</v>
      </c>
      <c r="M54" s="3">
        <f t="shared" si="9"/>
        <v>4608.5716</v>
      </c>
      <c r="N54" s="3">
        <f t="shared" si="10"/>
        <v>4767.924</v>
      </c>
      <c r="O54" s="3">
        <f t="shared" si="11"/>
        <v>4690.8332</v>
      </c>
      <c r="P54" s="3">
        <f t="shared" si="12"/>
        <v>5041.406</v>
      </c>
      <c r="Q54" s="3">
        <f t="shared" si="13"/>
        <v>3456.4752</v>
      </c>
      <c r="R54" s="3">
        <f t="shared" si="14"/>
        <v>5179.4056</v>
      </c>
      <c r="S54" s="3">
        <f t="shared" si="15"/>
        <v>4771.272</v>
      </c>
      <c r="T54" s="3">
        <f t="shared" si="16"/>
        <v>4681.6076</v>
      </c>
      <c r="U54" s="3">
        <f t="shared" si="17"/>
        <v>4353.888</v>
      </c>
      <c r="V54" s="3">
        <f t="shared" si="18"/>
        <v>4766.1756</v>
      </c>
      <c r="W54" s="3">
        <f t="shared" si="19"/>
        <v>4259.9208</v>
      </c>
      <c r="X54" s="3">
        <f t="shared" si="20"/>
        <v>4193.928</v>
      </c>
      <c r="Y54" s="3">
        <f t="shared" si="21"/>
        <v>4586.6608</v>
      </c>
      <c r="Z54" s="3">
        <f t="shared" si="22"/>
        <v>4658.184</v>
      </c>
      <c r="AA54" s="3">
        <f t="shared" si="23"/>
        <v>4870.348</v>
      </c>
      <c r="AB54" s="3">
        <f t="shared" si="24"/>
        <v>3850.1504</v>
      </c>
      <c r="AC54" s="3">
        <f t="shared" si="25"/>
        <v>3969.8848</v>
      </c>
      <c r="AD54" s="3">
        <f t="shared" si="26"/>
        <v>3847.844</v>
      </c>
      <c r="AE54" s="3">
        <f t="shared" si="27"/>
        <v>3269.88</v>
      </c>
      <c r="AF54" s="3">
        <f t="shared" si="28"/>
        <v>3569.9228</v>
      </c>
      <c r="AG54" s="3">
        <f t="shared" si="29"/>
        <v>3502.008</v>
      </c>
      <c r="AH54" s="3">
        <f t="shared" si="30"/>
        <v>3631.8112</v>
      </c>
      <c r="AI54" s="3">
        <f t="shared" si="31"/>
        <v>3840.9248</v>
      </c>
      <c r="AJ54" s="3">
        <f t="shared" si="32"/>
        <v>3375.156</v>
      </c>
      <c r="AK54" s="3">
        <f t="shared" si="33"/>
        <v>3729.8332</v>
      </c>
      <c r="AL54" s="3">
        <f t="shared" si="34"/>
        <v>3852.06</v>
      </c>
      <c r="AM54" s="3">
        <f t="shared" si="35"/>
        <v>4522.8504</v>
      </c>
    </row>
    <row r="55" spans="4:39">
      <c r="D55" s="3">
        <f t="shared" si="0"/>
        <v>781.0295</v>
      </c>
      <c r="E55" s="3">
        <f t="shared" si="1"/>
        <v>1443.9544</v>
      </c>
      <c r="F55" s="3">
        <f t="shared" si="2"/>
        <v>1342.9386</v>
      </c>
      <c r="G55" s="3">
        <f t="shared" si="3"/>
        <v>976.989</v>
      </c>
      <c r="H55" s="3">
        <f t="shared" si="4"/>
        <v>928.9739</v>
      </c>
      <c r="I55" s="3">
        <f t="shared" si="5"/>
        <v>950.052</v>
      </c>
      <c r="J55" s="3">
        <f t="shared" si="6"/>
        <v>1930.0135</v>
      </c>
      <c r="K55" s="3">
        <f t="shared" si="7"/>
        <v>1274.0504</v>
      </c>
      <c r="L55" s="3">
        <f t="shared" si="8"/>
        <v>714.015</v>
      </c>
      <c r="M55" s="3">
        <f t="shared" si="9"/>
        <v>803.0178</v>
      </c>
      <c r="N55" s="3">
        <f t="shared" si="10"/>
        <v>882.033</v>
      </c>
      <c r="O55" s="3">
        <f t="shared" si="11"/>
        <v>924.017</v>
      </c>
      <c r="P55" s="3">
        <f t="shared" si="12"/>
        <v>1496.9838</v>
      </c>
      <c r="Q55" s="3">
        <f t="shared" si="13"/>
        <v>796.0355</v>
      </c>
      <c r="R55" s="3">
        <f t="shared" si="14"/>
        <v>1004.9797</v>
      </c>
      <c r="S55" s="3">
        <f t="shared" si="15"/>
        <v>760.017</v>
      </c>
      <c r="T55" s="3">
        <f t="shared" si="16"/>
        <v>804.0346</v>
      </c>
      <c r="U55" s="3">
        <f t="shared" si="17"/>
        <v>813.03</v>
      </c>
      <c r="V55" s="3">
        <f t="shared" si="18"/>
        <v>1411.9539</v>
      </c>
      <c r="W55" s="3">
        <f t="shared" si="19"/>
        <v>1344.9722</v>
      </c>
      <c r="X55" s="3">
        <f t="shared" si="20"/>
        <v>952.02</v>
      </c>
      <c r="Y55" s="3">
        <f t="shared" si="21"/>
        <v>959.9863</v>
      </c>
      <c r="Z55" s="3">
        <f t="shared" si="22"/>
        <v>1012.044</v>
      </c>
      <c r="AA55" s="3">
        <f t="shared" si="23"/>
        <v>902.41</v>
      </c>
      <c r="AB55" s="3">
        <f t="shared" si="24"/>
        <v>1105.0074</v>
      </c>
      <c r="AC55" s="3">
        <f t="shared" si="25"/>
        <v>880.9752</v>
      </c>
      <c r="AD55" s="3">
        <f t="shared" si="26"/>
        <v>765.0149</v>
      </c>
      <c r="AE55" s="3">
        <f t="shared" si="27"/>
        <v>696.057</v>
      </c>
      <c r="AF55" s="3">
        <f t="shared" si="28"/>
        <v>691.0427</v>
      </c>
      <c r="AG55" s="3">
        <f t="shared" si="29"/>
        <v>971.946</v>
      </c>
      <c r="AH55" s="3">
        <f t="shared" si="30"/>
        <v>1443.9831</v>
      </c>
      <c r="AI55" s="3">
        <f t="shared" si="31"/>
        <v>913.9761</v>
      </c>
      <c r="AJ55" s="3">
        <f t="shared" si="32"/>
        <v>658.05</v>
      </c>
      <c r="AK55" s="3">
        <f t="shared" si="33"/>
        <v>533.9471</v>
      </c>
      <c r="AL55" s="3">
        <f t="shared" si="34"/>
        <v>702.945</v>
      </c>
      <c r="AM55" s="3">
        <f t="shared" si="35"/>
        <v>681.0018</v>
      </c>
    </row>
    <row r="56" spans="4:39">
      <c r="D56" s="3">
        <f t="shared" si="0"/>
        <v>2420.2382</v>
      </c>
      <c r="E56" s="3">
        <f t="shared" si="1"/>
        <v>2993.2952</v>
      </c>
      <c r="F56" s="3">
        <f t="shared" si="2"/>
        <v>3323.665</v>
      </c>
      <c r="G56" s="3">
        <f t="shared" si="3"/>
        <v>3046.71</v>
      </c>
      <c r="H56" s="3">
        <f t="shared" si="4"/>
        <v>3137.0822</v>
      </c>
      <c r="I56" s="3">
        <f t="shared" si="5"/>
        <v>2888.532</v>
      </c>
      <c r="J56" s="3">
        <f t="shared" si="6"/>
        <v>3066.923</v>
      </c>
      <c r="K56" s="3">
        <f t="shared" si="7"/>
        <v>2977.6988</v>
      </c>
      <c r="L56" s="3">
        <f t="shared" si="8"/>
        <v>2449.668</v>
      </c>
      <c r="M56" s="3">
        <f t="shared" si="9"/>
        <v>2391.7678</v>
      </c>
      <c r="N56" s="3">
        <f t="shared" si="10"/>
        <v>2889.27</v>
      </c>
      <c r="O56" s="3">
        <f t="shared" si="11"/>
        <v>2870.6806</v>
      </c>
      <c r="P56" s="3">
        <f t="shared" si="12"/>
        <v>3295.9572</v>
      </c>
      <c r="Q56" s="3">
        <f t="shared" si="13"/>
        <v>2101.9142</v>
      </c>
      <c r="R56" s="3">
        <f t="shared" si="14"/>
        <v>3402.9754</v>
      </c>
      <c r="S56" s="3">
        <f t="shared" si="15"/>
        <v>3126.906</v>
      </c>
      <c r="T56" s="3">
        <f t="shared" si="16"/>
        <v>3089.0384</v>
      </c>
      <c r="U56" s="3">
        <f t="shared" si="17"/>
        <v>3031.95</v>
      </c>
      <c r="V56" s="3">
        <f t="shared" si="18"/>
        <v>3385.944</v>
      </c>
      <c r="W56" s="3">
        <f t="shared" si="19"/>
        <v>3403.9922</v>
      </c>
      <c r="X56" s="3">
        <f t="shared" si="20"/>
        <v>2986.932</v>
      </c>
      <c r="Y56" s="3">
        <f t="shared" si="21"/>
        <v>2716.8896</v>
      </c>
      <c r="Z56" s="3">
        <f t="shared" si="22"/>
        <v>3147.078</v>
      </c>
      <c r="AA56" s="3">
        <f t="shared" si="23"/>
        <v>3174.958</v>
      </c>
      <c r="AB56" s="3">
        <f t="shared" si="24"/>
        <v>2821.1116</v>
      </c>
      <c r="AC56" s="3">
        <f t="shared" si="25"/>
        <v>2554.9888</v>
      </c>
      <c r="AD56" s="3">
        <f t="shared" si="26"/>
        <v>2725.024</v>
      </c>
      <c r="AE56" s="3">
        <f t="shared" si="27"/>
        <v>2753.97</v>
      </c>
      <c r="AF56" s="3">
        <f t="shared" si="28"/>
        <v>2625.1234</v>
      </c>
      <c r="AG56" s="3">
        <f t="shared" si="29"/>
        <v>2693.946</v>
      </c>
      <c r="AH56" s="3">
        <f t="shared" si="30"/>
        <v>3108.1034</v>
      </c>
      <c r="AI56" s="3">
        <f t="shared" si="31"/>
        <v>3008.9654</v>
      </c>
      <c r="AJ56" s="3">
        <f t="shared" si="32"/>
        <v>2967.99</v>
      </c>
      <c r="AK56" s="3">
        <f t="shared" si="33"/>
        <v>2484.0424</v>
      </c>
      <c r="AL56" s="3">
        <f t="shared" si="34"/>
        <v>2967.99</v>
      </c>
      <c r="AM56" s="3">
        <f t="shared" si="35"/>
        <v>3104.0362</v>
      </c>
    </row>
    <row r="57" spans="4:39">
      <c r="D57" s="3">
        <f t="shared" si="0"/>
        <v>1473.5571</v>
      </c>
      <c r="E57" s="3">
        <f t="shared" si="1"/>
        <v>2082.5028</v>
      </c>
      <c r="F57" s="3">
        <f t="shared" si="2"/>
        <v>2457.2832</v>
      </c>
      <c r="G57" s="3">
        <f t="shared" si="3"/>
        <v>2056.131</v>
      </c>
      <c r="H57" s="3">
        <f t="shared" si="4"/>
        <v>1873.9779</v>
      </c>
      <c r="I57" s="3">
        <f t="shared" si="5"/>
        <v>1879.56</v>
      </c>
      <c r="J57" s="3">
        <f t="shared" si="6"/>
        <v>1926.3834</v>
      </c>
      <c r="K57" s="3">
        <f t="shared" si="7"/>
        <v>1798.6851</v>
      </c>
      <c r="L57" s="3">
        <f t="shared" si="8"/>
        <v>1216.332</v>
      </c>
      <c r="M57" s="3">
        <f t="shared" si="9"/>
        <v>1334.0943</v>
      </c>
      <c r="N57" s="3">
        <f t="shared" si="10"/>
        <v>1850.166</v>
      </c>
      <c r="O57" s="3">
        <f t="shared" si="11"/>
        <v>1764.0333</v>
      </c>
      <c r="P57" s="3">
        <f t="shared" si="12"/>
        <v>1900.2876</v>
      </c>
      <c r="Q57" s="3">
        <f t="shared" si="13"/>
        <v>1104.9522</v>
      </c>
      <c r="R57" s="3">
        <f t="shared" si="14"/>
        <v>2118.8934</v>
      </c>
      <c r="S57" s="3">
        <f t="shared" si="15"/>
        <v>1456.659</v>
      </c>
      <c r="T57" s="3">
        <f t="shared" si="16"/>
        <v>1809.3801</v>
      </c>
      <c r="U57" s="3">
        <f t="shared" si="17"/>
        <v>1728.036</v>
      </c>
      <c r="V57" s="3">
        <f t="shared" si="18"/>
        <v>1928.0946</v>
      </c>
      <c r="W57" s="3">
        <f t="shared" si="19"/>
        <v>2193.9723</v>
      </c>
      <c r="X57" s="3">
        <f t="shared" si="20"/>
        <v>1699.056</v>
      </c>
      <c r="Y57" s="3">
        <f t="shared" si="21"/>
        <v>1903.9239</v>
      </c>
      <c r="Z57" s="3">
        <f t="shared" si="22"/>
        <v>2002.932</v>
      </c>
      <c r="AA57" s="3">
        <f t="shared" si="23"/>
        <v>2160.39</v>
      </c>
      <c r="AB57" s="3">
        <f t="shared" si="24"/>
        <v>1670.9868</v>
      </c>
      <c r="AC57" s="3">
        <f t="shared" si="25"/>
        <v>1749.0396</v>
      </c>
      <c r="AD57" s="3">
        <f t="shared" si="26"/>
        <v>2140.0695</v>
      </c>
      <c r="AE57" s="3">
        <f t="shared" si="27"/>
        <v>1871.901</v>
      </c>
      <c r="AF57" s="3">
        <f t="shared" si="28"/>
        <v>1645.9605</v>
      </c>
      <c r="AG57" s="3">
        <f t="shared" si="29"/>
        <v>1826.982</v>
      </c>
      <c r="AH57" s="3">
        <f t="shared" si="30"/>
        <v>1759.9692</v>
      </c>
      <c r="AI57" s="3">
        <f t="shared" si="31"/>
        <v>1792.0542</v>
      </c>
      <c r="AJ57" s="3">
        <f t="shared" si="32"/>
        <v>1428.921</v>
      </c>
      <c r="AK57" s="3">
        <f t="shared" si="33"/>
        <v>1746.0657</v>
      </c>
      <c r="AL57" s="3">
        <f t="shared" si="34"/>
        <v>1812.078</v>
      </c>
      <c r="AM57" s="3">
        <f t="shared" si="35"/>
        <v>1922.961</v>
      </c>
    </row>
    <row r="58" spans="4:39">
      <c r="D58" s="3">
        <f t="shared" si="0"/>
        <v>511.7232</v>
      </c>
      <c r="E58" s="3">
        <f t="shared" si="1"/>
        <v>705.5384</v>
      </c>
      <c r="F58" s="3">
        <f t="shared" si="2"/>
        <v>725.7658</v>
      </c>
      <c r="G58" s="3">
        <f t="shared" si="3"/>
        <v>654.816</v>
      </c>
      <c r="H58" s="3">
        <f t="shared" si="4"/>
        <v>543.4114</v>
      </c>
      <c r="I58" s="3">
        <f t="shared" si="5"/>
        <v>410.4</v>
      </c>
      <c r="J58" s="3">
        <f t="shared" si="6"/>
        <v>453.4122</v>
      </c>
      <c r="K58" s="3">
        <f t="shared" si="7"/>
        <v>535.7544</v>
      </c>
      <c r="L58" s="3">
        <f t="shared" si="8"/>
        <v>271.092</v>
      </c>
      <c r="M58" s="3">
        <f t="shared" si="9"/>
        <v>383.7924</v>
      </c>
      <c r="N58" s="3">
        <f t="shared" si="10"/>
        <v>537.054</v>
      </c>
      <c r="O58" s="3">
        <f t="shared" si="11"/>
        <v>458.4776</v>
      </c>
      <c r="P58" s="3">
        <f t="shared" si="12"/>
        <v>594.0654</v>
      </c>
      <c r="Q58" s="3">
        <f t="shared" si="13"/>
        <v>282.4426</v>
      </c>
      <c r="R58" s="3">
        <f t="shared" si="14"/>
        <v>673.816</v>
      </c>
      <c r="S58" s="3">
        <f t="shared" si="15"/>
        <v>682.746</v>
      </c>
      <c r="T58" s="3">
        <f t="shared" si="16"/>
        <v>416.7764</v>
      </c>
      <c r="U58" s="3">
        <f t="shared" si="17"/>
        <v>245.784</v>
      </c>
      <c r="V58" s="3">
        <f t="shared" si="18"/>
        <v>362.235</v>
      </c>
      <c r="W58" s="3">
        <f t="shared" si="19"/>
        <v>407.8236</v>
      </c>
      <c r="X58" s="3">
        <f t="shared" si="20"/>
        <v>266.076</v>
      </c>
      <c r="Y58" s="3">
        <f t="shared" si="21"/>
        <v>337.9682</v>
      </c>
      <c r="Z58" s="3">
        <f t="shared" si="22"/>
        <v>389.994</v>
      </c>
      <c r="AA58" s="3">
        <f t="shared" si="23"/>
        <v>318.06</v>
      </c>
      <c r="AB58" s="3">
        <f t="shared" si="24"/>
        <v>261.0448</v>
      </c>
      <c r="AC58" s="3">
        <f t="shared" si="25"/>
        <v>368.0376</v>
      </c>
      <c r="AD58" s="3">
        <f t="shared" si="26"/>
        <v>409.0016</v>
      </c>
      <c r="AE58" s="3">
        <f t="shared" si="27"/>
        <v>413.022</v>
      </c>
      <c r="AF58" s="3">
        <f t="shared" si="28"/>
        <v>466.9592</v>
      </c>
      <c r="AG58" s="3">
        <f t="shared" si="29"/>
        <v>393.984</v>
      </c>
      <c r="AH58" s="3">
        <f t="shared" si="30"/>
        <v>347.9812</v>
      </c>
      <c r="AI58" s="3">
        <f t="shared" si="31"/>
        <v>411.0042</v>
      </c>
      <c r="AJ58" s="3">
        <f t="shared" si="32"/>
        <v>376.998</v>
      </c>
      <c r="AK58" s="3">
        <f t="shared" si="33"/>
        <v>462.0116</v>
      </c>
      <c r="AL58" s="3">
        <f t="shared" si="34"/>
        <v>581.97</v>
      </c>
      <c r="AM58" s="3">
        <f t="shared" si="35"/>
        <v>415.9518</v>
      </c>
    </row>
    <row r="59" spans="4:39">
      <c r="D59" s="3">
        <f t="shared" si="0"/>
        <v>1717.9952</v>
      </c>
      <c r="E59" s="3">
        <f t="shared" si="1"/>
        <v>2823.0048</v>
      </c>
      <c r="F59" s="3">
        <f t="shared" si="2"/>
        <v>2966.9108</v>
      </c>
      <c r="G59" s="3">
        <f t="shared" si="3"/>
        <v>2495.004</v>
      </c>
      <c r="H59" s="3">
        <f t="shared" si="4"/>
        <v>2572.0452</v>
      </c>
      <c r="I59" s="3">
        <f t="shared" si="5"/>
        <v>2310.096</v>
      </c>
      <c r="J59" s="3">
        <f t="shared" si="6"/>
        <v>2908.0108</v>
      </c>
      <c r="K59" s="3">
        <f t="shared" si="7"/>
        <v>2114.9812</v>
      </c>
      <c r="L59" s="3">
        <f t="shared" si="8"/>
        <v>2256.972</v>
      </c>
      <c r="M59" s="3">
        <f t="shared" si="9"/>
        <v>2143.96</v>
      </c>
      <c r="N59" s="3">
        <f t="shared" si="10"/>
        <v>2777.952</v>
      </c>
      <c r="O59" s="3">
        <f t="shared" si="11"/>
        <v>2707.9864</v>
      </c>
      <c r="P59" s="3">
        <f t="shared" si="12"/>
        <v>2703.9812</v>
      </c>
      <c r="Q59" s="3">
        <f t="shared" si="13"/>
        <v>1494.9732</v>
      </c>
      <c r="R59" s="3">
        <f t="shared" si="14"/>
        <v>2838.98</v>
      </c>
      <c r="S59" s="3">
        <f t="shared" si="15"/>
        <v>2453.964</v>
      </c>
      <c r="T59" s="3">
        <f t="shared" si="16"/>
        <v>2441.994</v>
      </c>
      <c r="U59" s="3">
        <f t="shared" si="17"/>
        <v>2277.948</v>
      </c>
      <c r="V59" s="3">
        <f t="shared" si="18"/>
        <v>2424.0884</v>
      </c>
      <c r="W59" s="3">
        <f t="shared" si="19"/>
        <v>2486.9936</v>
      </c>
      <c r="X59" s="3">
        <f t="shared" si="20"/>
        <v>2179.908</v>
      </c>
      <c r="Y59" s="3">
        <f t="shared" si="21"/>
        <v>2506.784</v>
      </c>
      <c r="Z59" s="3">
        <f t="shared" si="22"/>
        <v>2964</v>
      </c>
      <c r="AA59" s="3">
        <f t="shared" si="23"/>
        <v>3015.68</v>
      </c>
      <c r="AB59" s="3">
        <f t="shared" si="24"/>
        <v>2132.8868</v>
      </c>
      <c r="AC59" s="3">
        <f t="shared" si="25"/>
        <v>2409.96</v>
      </c>
      <c r="AD59" s="3">
        <f t="shared" si="26"/>
        <v>2523.0404</v>
      </c>
      <c r="AE59" s="3">
        <f t="shared" si="27"/>
        <v>2129.064</v>
      </c>
      <c r="AF59" s="3">
        <f t="shared" si="28"/>
        <v>2266.9432</v>
      </c>
      <c r="AG59" s="3">
        <f t="shared" si="29"/>
        <v>2412.924</v>
      </c>
      <c r="AH59" s="3">
        <f t="shared" si="30"/>
        <v>2519.0352</v>
      </c>
      <c r="AI59" s="3">
        <f t="shared" si="31"/>
        <v>2230.8964</v>
      </c>
      <c r="AJ59" s="3">
        <f t="shared" si="32"/>
        <v>2218.896</v>
      </c>
      <c r="AK59" s="3">
        <f t="shared" si="33"/>
        <v>2123.934</v>
      </c>
      <c r="AL59" s="3">
        <f t="shared" si="34"/>
        <v>2666.004</v>
      </c>
      <c r="AM59" s="3">
        <f t="shared" si="35"/>
        <v>2711.9916</v>
      </c>
    </row>
    <row r="60" spans="4:39">
      <c r="D60" s="3">
        <f t="shared" si="0"/>
        <v>1673.8512</v>
      </c>
      <c r="E60" s="3">
        <f t="shared" si="1"/>
        <v>2561.328</v>
      </c>
      <c r="F60" s="3">
        <f t="shared" si="2"/>
        <v>2894.9536</v>
      </c>
      <c r="G60" s="3">
        <f t="shared" si="3"/>
        <v>2788.968</v>
      </c>
      <c r="H60" s="3">
        <f t="shared" si="4"/>
        <v>2873.08</v>
      </c>
      <c r="I60" s="3">
        <f t="shared" si="5"/>
        <v>2591.232</v>
      </c>
      <c r="J60" s="3">
        <f t="shared" si="6"/>
        <v>2280.9304</v>
      </c>
      <c r="K60" s="3">
        <f t="shared" si="7"/>
        <v>2283.0136</v>
      </c>
      <c r="L60" s="3">
        <f t="shared" si="8"/>
        <v>2155.944</v>
      </c>
      <c r="M60" s="3">
        <f t="shared" si="9"/>
        <v>2122.9544</v>
      </c>
      <c r="N60" s="3">
        <f t="shared" si="10"/>
        <v>2119.992</v>
      </c>
      <c r="O60" s="3">
        <f t="shared" si="11"/>
        <v>2188.0544</v>
      </c>
      <c r="P60" s="3">
        <f t="shared" si="12"/>
        <v>2200.0328</v>
      </c>
      <c r="Q60" s="3">
        <f t="shared" si="13"/>
        <v>1245.9328</v>
      </c>
      <c r="R60" s="3">
        <f t="shared" si="14"/>
        <v>2193.9568</v>
      </c>
      <c r="S60" s="3">
        <f t="shared" si="15"/>
        <v>2110.08</v>
      </c>
      <c r="T60" s="3">
        <f t="shared" si="16"/>
        <v>2184.9296</v>
      </c>
      <c r="U60" s="3">
        <f t="shared" si="17"/>
        <v>2088.072</v>
      </c>
      <c r="V60" s="3">
        <f t="shared" si="18"/>
        <v>2163.056</v>
      </c>
      <c r="W60" s="3">
        <f t="shared" si="19"/>
        <v>2172.0832</v>
      </c>
      <c r="X60" s="3">
        <f t="shared" si="20"/>
        <v>2107.056</v>
      </c>
      <c r="Y60" s="3">
        <f t="shared" si="21"/>
        <v>2174.8608</v>
      </c>
      <c r="Z60" s="3">
        <f t="shared" si="22"/>
        <v>2396.016</v>
      </c>
      <c r="AA60" s="3">
        <f t="shared" si="23"/>
        <v>2451.232</v>
      </c>
      <c r="AB60" s="3">
        <f t="shared" si="24"/>
        <v>1925.0504</v>
      </c>
      <c r="AC60" s="3">
        <f t="shared" si="25"/>
        <v>1814.96</v>
      </c>
      <c r="AD60" s="3">
        <f t="shared" si="26"/>
        <v>2368.9456</v>
      </c>
      <c r="AE60" s="3">
        <f t="shared" si="27"/>
        <v>2254.056</v>
      </c>
      <c r="AF60" s="3">
        <f t="shared" si="28"/>
        <v>2100.0392</v>
      </c>
      <c r="AG60" s="3">
        <f t="shared" si="29"/>
        <v>2339.064</v>
      </c>
      <c r="AH60" s="3">
        <f t="shared" si="30"/>
        <v>2401.9296</v>
      </c>
      <c r="AI60" s="3">
        <f t="shared" si="31"/>
        <v>2364.0848</v>
      </c>
      <c r="AJ60" s="3">
        <f t="shared" si="32"/>
        <v>2347.968</v>
      </c>
      <c r="AK60" s="3">
        <f t="shared" si="33"/>
        <v>2201.9424</v>
      </c>
      <c r="AL60" s="3">
        <f t="shared" si="34"/>
        <v>2339.064</v>
      </c>
      <c r="AM60" s="3">
        <f t="shared" si="35"/>
        <v>2380.924</v>
      </c>
    </row>
    <row r="61" spans="4:39">
      <c r="D61" s="3">
        <f t="shared" si="0"/>
        <v>810.96</v>
      </c>
      <c r="E61" s="3">
        <f t="shared" si="1"/>
        <v>1243.984</v>
      </c>
      <c r="F61" s="3">
        <f t="shared" si="2"/>
        <v>1255.996</v>
      </c>
      <c r="G61" s="3">
        <f t="shared" si="3"/>
        <v>1001.04</v>
      </c>
      <c r="H61" s="3">
        <f t="shared" si="4"/>
        <v>1166.964</v>
      </c>
      <c r="I61" s="3">
        <f t="shared" si="5"/>
        <v>1014.96</v>
      </c>
      <c r="J61" s="3">
        <f t="shared" si="6"/>
        <v>1051.024</v>
      </c>
      <c r="K61" s="3">
        <f t="shared" si="7"/>
        <v>881.02</v>
      </c>
      <c r="L61" s="3">
        <f t="shared" si="8"/>
        <v>891</v>
      </c>
      <c r="M61" s="3">
        <f t="shared" si="9"/>
        <v>1093.06</v>
      </c>
      <c r="N61" s="3">
        <f t="shared" si="10"/>
        <v>1025.04</v>
      </c>
      <c r="O61" s="3">
        <f t="shared" si="11"/>
        <v>1025.976</v>
      </c>
      <c r="P61" s="3">
        <f t="shared" si="12"/>
        <v>1211.976</v>
      </c>
      <c r="Q61" s="3">
        <f t="shared" si="13"/>
        <v>707.948</v>
      </c>
      <c r="R61" s="3">
        <f t="shared" si="14"/>
        <v>1453.032</v>
      </c>
      <c r="S61" s="3">
        <f t="shared" si="15"/>
        <v>1307.04</v>
      </c>
      <c r="T61" s="3">
        <f t="shared" si="16"/>
        <v>1199.948</v>
      </c>
      <c r="U61" s="3">
        <f t="shared" si="17"/>
        <v>887.04</v>
      </c>
      <c r="V61" s="3">
        <f t="shared" si="18"/>
        <v>1275.96</v>
      </c>
      <c r="W61" s="3">
        <f t="shared" si="19"/>
        <v>1057.968</v>
      </c>
      <c r="X61" s="3">
        <f t="shared" si="20"/>
        <v>1250.04</v>
      </c>
      <c r="Y61" s="3">
        <f t="shared" si="21"/>
        <v>1321.964</v>
      </c>
      <c r="Z61" s="3">
        <f t="shared" si="22"/>
        <v>1406.04</v>
      </c>
      <c r="AA61" s="3">
        <f t="shared" si="23"/>
        <v>1213.96</v>
      </c>
      <c r="AB61" s="3">
        <f t="shared" si="24"/>
        <v>883.004</v>
      </c>
      <c r="AC61" s="3">
        <f t="shared" si="25"/>
        <v>987.952</v>
      </c>
      <c r="AD61" s="3">
        <f t="shared" si="26"/>
        <v>981.956</v>
      </c>
      <c r="AE61" s="3">
        <f t="shared" si="27"/>
        <v>810.96</v>
      </c>
      <c r="AF61" s="3">
        <f t="shared" si="28"/>
        <v>1138.94</v>
      </c>
      <c r="AG61" s="3">
        <f t="shared" si="29"/>
        <v>999.96</v>
      </c>
      <c r="AH61" s="3">
        <f t="shared" si="30"/>
        <v>1171.056</v>
      </c>
      <c r="AI61" s="3">
        <f t="shared" si="31"/>
        <v>912.02</v>
      </c>
      <c r="AJ61" s="3">
        <f t="shared" si="32"/>
        <v>963</v>
      </c>
      <c r="AK61" s="3">
        <f t="shared" si="33"/>
        <v>1072.972</v>
      </c>
      <c r="AL61" s="3">
        <f t="shared" si="34"/>
        <v>984</v>
      </c>
      <c r="AM61" s="3">
        <f t="shared" si="35"/>
        <v>1158.036</v>
      </c>
    </row>
    <row r="62" spans="4:39">
      <c r="D62" s="3">
        <f t="shared" si="0"/>
        <v>0</v>
      </c>
      <c r="E62" s="3">
        <f t="shared" si="1"/>
        <v>90.02</v>
      </c>
      <c r="F62" s="3">
        <f t="shared" si="2"/>
        <v>59.985</v>
      </c>
      <c r="G62" s="3">
        <f t="shared" si="3"/>
        <v>71.25</v>
      </c>
      <c r="H62" s="3">
        <f t="shared" si="4"/>
        <v>114.39</v>
      </c>
      <c r="I62" s="3">
        <f t="shared" si="5"/>
        <v>207.525</v>
      </c>
      <c r="J62" s="3">
        <f t="shared" si="6"/>
        <v>536.2225</v>
      </c>
      <c r="K62" s="3">
        <f t="shared" si="7"/>
        <v>541.26</v>
      </c>
      <c r="L62" s="3">
        <f t="shared" si="8"/>
        <v>585</v>
      </c>
      <c r="M62" s="3">
        <f t="shared" si="9"/>
        <v>735.01</v>
      </c>
      <c r="N62" s="3">
        <f t="shared" si="10"/>
        <v>1036.275</v>
      </c>
      <c r="O62" s="3">
        <f t="shared" si="11"/>
        <v>741.2875</v>
      </c>
      <c r="P62" s="3">
        <f t="shared" si="12"/>
        <v>1018.7375</v>
      </c>
      <c r="Q62" s="3">
        <f t="shared" si="13"/>
        <v>757.48</v>
      </c>
      <c r="R62" s="3">
        <f t="shared" si="14"/>
        <v>1162.5</v>
      </c>
      <c r="S62" s="3">
        <f t="shared" si="15"/>
        <v>743.025</v>
      </c>
      <c r="T62" s="3">
        <f t="shared" si="16"/>
        <v>697.965</v>
      </c>
      <c r="U62" s="3">
        <f t="shared" si="17"/>
        <v>750</v>
      </c>
      <c r="V62" s="3">
        <f t="shared" si="18"/>
        <v>873.9675</v>
      </c>
      <c r="W62" s="3">
        <f t="shared" si="19"/>
        <v>934.03</v>
      </c>
      <c r="X62" s="3">
        <f t="shared" si="20"/>
        <v>755.025</v>
      </c>
      <c r="Y62" s="3">
        <f t="shared" si="21"/>
        <v>769.9625</v>
      </c>
      <c r="Z62" s="3">
        <f t="shared" si="22"/>
        <v>942.975</v>
      </c>
      <c r="AA62" s="3">
        <f t="shared" si="23"/>
        <v>1011.375</v>
      </c>
      <c r="AB62" s="3">
        <f t="shared" si="24"/>
        <v>648.985</v>
      </c>
      <c r="AC62" s="3">
        <f t="shared" si="25"/>
        <v>702.03</v>
      </c>
      <c r="AD62" s="3">
        <f t="shared" si="26"/>
        <v>790.035</v>
      </c>
      <c r="AE62" s="3">
        <f t="shared" si="27"/>
        <v>669</v>
      </c>
      <c r="AF62" s="3">
        <f t="shared" si="28"/>
        <v>631.005</v>
      </c>
      <c r="AG62" s="3">
        <f t="shared" si="29"/>
        <v>659.025</v>
      </c>
      <c r="AH62" s="3">
        <f t="shared" si="30"/>
        <v>943.02</v>
      </c>
      <c r="AI62" s="3">
        <f t="shared" si="31"/>
        <v>632.0125</v>
      </c>
      <c r="AJ62" s="3">
        <f t="shared" si="32"/>
        <v>618</v>
      </c>
      <c r="AK62" s="3">
        <f t="shared" si="33"/>
        <v>586.985</v>
      </c>
      <c r="AL62" s="3">
        <f t="shared" si="34"/>
        <v>720.975</v>
      </c>
      <c r="AM62" s="3">
        <f t="shared" si="35"/>
        <v>716.0225</v>
      </c>
    </row>
    <row r="63" spans="4:39">
      <c r="D63" s="3">
        <f t="shared" si="0"/>
        <v>173.0234</v>
      </c>
      <c r="E63" s="3">
        <f t="shared" si="1"/>
        <v>281.0192</v>
      </c>
      <c r="F63" s="3">
        <f t="shared" si="2"/>
        <v>351.0254</v>
      </c>
      <c r="G63" s="3">
        <f t="shared" si="3"/>
        <v>607.992</v>
      </c>
      <c r="H63" s="3">
        <f t="shared" si="4"/>
        <v>516.0012</v>
      </c>
      <c r="I63" s="3">
        <f t="shared" si="5"/>
        <v>587.004</v>
      </c>
      <c r="J63" s="3">
        <f t="shared" si="6"/>
        <v>651.992</v>
      </c>
      <c r="K63" s="3">
        <f t="shared" si="7"/>
        <v>683.023</v>
      </c>
      <c r="L63" s="3">
        <f t="shared" si="8"/>
        <v>681.978</v>
      </c>
      <c r="M63" s="3">
        <f t="shared" si="9"/>
        <v>650.0142</v>
      </c>
      <c r="N63" s="3">
        <f t="shared" si="10"/>
        <v>700.986</v>
      </c>
      <c r="O63" s="3">
        <f t="shared" si="11"/>
        <v>707.0294</v>
      </c>
      <c r="P63" s="3">
        <f t="shared" si="12"/>
        <v>793.9844</v>
      </c>
      <c r="Q63" s="3">
        <f t="shared" si="13"/>
        <v>580.0058</v>
      </c>
      <c r="R63" s="3">
        <f t="shared" si="14"/>
        <v>688.0016</v>
      </c>
      <c r="S63" s="3">
        <f t="shared" si="15"/>
        <v>665.016</v>
      </c>
      <c r="T63" s="3">
        <f t="shared" si="16"/>
        <v>686.9786</v>
      </c>
      <c r="U63" s="3">
        <f t="shared" si="17"/>
        <v>677.028</v>
      </c>
      <c r="V63" s="3">
        <f t="shared" si="18"/>
        <v>0</v>
      </c>
      <c r="W63" s="3">
        <f t="shared" si="19"/>
        <v>629.0086</v>
      </c>
      <c r="X63" s="3">
        <f t="shared" si="20"/>
        <v>666.996</v>
      </c>
      <c r="Y63" s="3">
        <f t="shared" si="21"/>
        <v>694.958</v>
      </c>
      <c r="Z63" s="3">
        <f t="shared" si="22"/>
        <v>664.026</v>
      </c>
      <c r="AA63" s="3">
        <f t="shared" si="23"/>
        <v>669.724</v>
      </c>
      <c r="AB63" s="3">
        <f t="shared" si="24"/>
        <v>565.9918</v>
      </c>
      <c r="AC63" s="3">
        <f t="shared" si="25"/>
        <v>473.0264</v>
      </c>
      <c r="AD63" s="3">
        <f t="shared" si="26"/>
        <v>600.0236</v>
      </c>
      <c r="AE63" s="3">
        <f t="shared" si="27"/>
        <v>659.01</v>
      </c>
      <c r="AF63" s="3">
        <f t="shared" si="28"/>
        <v>668.019</v>
      </c>
      <c r="AG63" s="3">
        <f t="shared" si="29"/>
        <v>686.004</v>
      </c>
      <c r="AH63" s="3">
        <f t="shared" si="30"/>
        <v>701.9826</v>
      </c>
      <c r="AI63" s="3">
        <f t="shared" si="31"/>
        <v>698.9818</v>
      </c>
      <c r="AJ63" s="3">
        <f t="shared" si="32"/>
        <v>641.982</v>
      </c>
      <c r="AK63" s="3">
        <f t="shared" si="33"/>
        <v>695.0262</v>
      </c>
      <c r="AL63" s="3">
        <f t="shared" si="34"/>
        <v>654.984</v>
      </c>
      <c r="AM63" s="3">
        <f t="shared" si="35"/>
        <v>760.9756</v>
      </c>
    </row>
    <row r="64" spans="4:39">
      <c r="D64" s="3">
        <f t="shared" si="0"/>
        <v>2448.8016</v>
      </c>
      <c r="E64" s="3">
        <f t="shared" si="1"/>
        <v>4273.1136</v>
      </c>
      <c r="F64" s="3">
        <f t="shared" si="2"/>
        <v>3147.9756</v>
      </c>
      <c r="G64" s="3">
        <f t="shared" si="3"/>
        <v>2868.012</v>
      </c>
      <c r="H64" s="3">
        <f t="shared" si="4"/>
        <v>3055.0128</v>
      </c>
      <c r="I64" s="3">
        <f t="shared" si="5"/>
        <v>2963.016</v>
      </c>
      <c r="J64" s="3">
        <f t="shared" si="6"/>
        <v>3290.9352</v>
      </c>
      <c r="K64" s="3">
        <f t="shared" si="7"/>
        <v>3121.9356</v>
      </c>
      <c r="L64" s="3">
        <f t="shared" si="8"/>
        <v>2947.896</v>
      </c>
      <c r="M64" s="3">
        <f t="shared" si="9"/>
        <v>2999.0268</v>
      </c>
      <c r="N64" s="3">
        <f t="shared" si="10"/>
        <v>3287.088</v>
      </c>
      <c r="O64" s="3">
        <f t="shared" si="11"/>
        <v>3222.9708</v>
      </c>
      <c r="P64" s="3">
        <f t="shared" si="12"/>
        <v>3278.9568</v>
      </c>
      <c r="Q64" s="3">
        <f t="shared" si="13"/>
        <v>2290.0836</v>
      </c>
      <c r="R64" s="3">
        <f t="shared" si="14"/>
        <v>3531.024</v>
      </c>
      <c r="S64" s="3">
        <f t="shared" si="15"/>
        <v>3067.092</v>
      </c>
      <c r="T64" s="3">
        <f t="shared" si="16"/>
        <v>3001.11</v>
      </c>
      <c r="U64" s="3">
        <f t="shared" si="17"/>
        <v>2815.092</v>
      </c>
      <c r="V64" s="3">
        <f t="shared" si="18"/>
        <v>3226.8768</v>
      </c>
      <c r="W64" s="3">
        <f t="shared" si="19"/>
        <v>3337.026</v>
      </c>
      <c r="X64" s="3">
        <f t="shared" si="20"/>
        <v>3073.896</v>
      </c>
      <c r="Y64" s="3">
        <f t="shared" si="21"/>
        <v>3016.9944</v>
      </c>
      <c r="Z64" s="3">
        <f t="shared" si="22"/>
        <v>3185.028</v>
      </c>
      <c r="AA64" s="3">
        <f t="shared" si="23"/>
        <v>3239.376</v>
      </c>
      <c r="AB64" s="3">
        <f t="shared" si="24"/>
        <v>2464.9464</v>
      </c>
      <c r="AC64" s="3">
        <f t="shared" si="25"/>
        <v>2757.9552</v>
      </c>
      <c r="AD64" s="3">
        <f t="shared" si="26"/>
        <v>3239.1156</v>
      </c>
      <c r="AE64" s="3">
        <f t="shared" si="27"/>
        <v>2943.108</v>
      </c>
      <c r="AF64" s="3">
        <f t="shared" si="28"/>
        <v>2988.09</v>
      </c>
      <c r="AG64" s="3">
        <f t="shared" si="29"/>
        <v>3001.068</v>
      </c>
      <c r="AH64" s="3">
        <f t="shared" si="30"/>
        <v>3027.9312</v>
      </c>
      <c r="AI64" s="3">
        <f t="shared" si="31"/>
        <v>2964.9144</v>
      </c>
      <c r="AJ64" s="3">
        <f t="shared" si="32"/>
        <v>2787.12</v>
      </c>
      <c r="AK64" s="3">
        <f t="shared" si="33"/>
        <v>2807.8932</v>
      </c>
      <c r="AL64" s="3">
        <f t="shared" si="34"/>
        <v>2947.896</v>
      </c>
      <c r="AM64" s="3">
        <f t="shared" si="35"/>
        <v>3596.6448</v>
      </c>
    </row>
    <row r="65" spans="4:39">
      <c r="D65" s="3">
        <f t="shared" si="0"/>
        <v>1663.4445</v>
      </c>
      <c r="E65" s="3">
        <f t="shared" si="1"/>
        <v>2247.0756</v>
      </c>
      <c r="F65" s="3">
        <f t="shared" si="2"/>
        <v>2678.2357</v>
      </c>
      <c r="G65" s="3">
        <f t="shared" si="3"/>
        <v>2412.312</v>
      </c>
      <c r="H65" s="3">
        <f t="shared" si="4"/>
        <v>2477.2844</v>
      </c>
      <c r="I65" s="3">
        <f t="shared" si="5"/>
        <v>2813.949</v>
      </c>
      <c r="J65" s="3">
        <f t="shared" si="6"/>
        <v>2885.8768</v>
      </c>
      <c r="K65" s="3">
        <f t="shared" si="7"/>
        <v>2685.9547</v>
      </c>
      <c r="L65" s="3">
        <f t="shared" si="8"/>
        <v>2227.056</v>
      </c>
      <c r="M65" s="3">
        <f t="shared" si="9"/>
        <v>2727.8946</v>
      </c>
      <c r="N65" s="3">
        <f t="shared" si="10"/>
        <v>3193.923</v>
      </c>
      <c r="O65" s="3">
        <f t="shared" si="11"/>
        <v>2930.9043</v>
      </c>
      <c r="P65" s="3">
        <f t="shared" si="12"/>
        <v>2843.9369</v>
      </c>
      <c r="Q65" s="3">
        <f t="shared" si="13"/>
        <v>1898.8823</v>
      </c>
      <c r="R65" s="3">
        <f t="shared" si="14"/>
        <v>2157.9751</v>
      </c>
      <c r="S65" s="3">
        <f t="shared" si="15"/>
        <v>1936.971</v>
      </c>
      <c r="T65" s="3">
        <f t="shared" si="16"/>
        <v>1789.0069</v>
      </c>
      <c r="U65" s="3">
        <f t="shared" si="17"/>
        <v>1758.936</v>
      </c>
      <c r="V65" s="3">
        <f t="shared" si="18"/>
        <v>2128.9002</v>
      </c>
      <c r="W65" s="3">
        <f t="shared" si="19"/>
        <v>1899.9032</v>
      </c>
      <c r="X65" s="3">
        <f t="shared" si="20"/>
        <v>1737.024</v>
      </c>
      <c r="Y65" s="3">
        <f t="shared" si="21"/>
        <v>1834.8063</v>
      </c>
      <c r="Z65" s="3">
        <f t="shared" si="22"/>
        <v>2259.924</v>
      </c>
      <c r="AA65" s="3">
        <f t="shared" si="23"/>
        <v>2562.708</v>
      </c>
      <c r="AB65" s="3">
        <f t="shared" si="24"/>
        <v>2115.006</v>
      </c>
      <c r="AC65" s="3">
        <f t="shared" si="25"/>
        <v>1762.0568</v>
      </c>
      <c r="AD65" s="3">
        <f t="shared" si="26"/>
        <v>1898.874</v>
      </c>
      <c r="AE65" s="3">
        <f t="shared" si="27"/>
        <v>1956.891</v>
      </c>
      <c r="AF65" s="3">
        <f t="shared" si="28"/>
        <v>1842.0107</v>
      </c>
      <c r="AG65" s="3">
        <f t="shared" si="29"/>
        <v>1945.935</v>
      </c>
      <c r="AH65" s="3">
        <f t="shared" si="30"/>
        <v>2151.028</v>
      </c>
      <c r="AI65" s="3">
        <f t="shared" si="31"/>
        <v>1893.9853</v>
      </c>
      <c r="AJ65" s="3">
        <f t="shared" si="32"/>
        <v>1513.92</v>
      </c>
      <c r="AK65" s="3">
        <f t="shared" si="33"/>
        <v>1412.0624</v>
      </c>
      <c r="AL65" s="3">
        <f t="shared" si="34"/>
        <v>2116.002</v>
      </c>
      <c r="AM65" s="3">
        <f t="shared" si="35"/>
        <v>1951.1059</v>
      </c>
    </row>
    <row r="66" spans="4:39">
      <c r="D66" s="3">
        <f t="shared" si="0"/>
        <v>529.604</v>
      </c>
      <c r="E66" s="3">
        <f t="shared" si="1"/>
        <v>967.904</v>
      </c>
      <c r="F66" s="3">
        <f t="shared" si="2"/>
        <v>847.664</v>
      </c>
      <c r="G66" s="3">
        <f t="shared" si="3"/>
        <v>688.56</v>
      </c>
      <c r="H66" s="3">
        <f t="shared" si="4"/>
        <v>614.42</v>
      </c>
      <c r="I66" s="3">
        <f t="shared" si="5"/>
        <v>443.4</v>
      </c>
      <c r="J66" s="3">
        <f t="shared" si="6"/>
        <v>559.116</v>
      </c>
      <c r="K66" s="3">
        <f t="shared" si="7"/>
        <v>430.652</v>
      </c>
      <c r="L66" s="3">
        <f t="shared" si="8"/>
        <v>303.84</v>
      </c>
      <c r="M66" s="3">
        <f t="shared" si="9"/>
        <v>435.736</v>
      </c>
      <c r="N66" s="3">
        <f t="shared" si="10"/>
        <v>475.68</v>
      </c>
      <c r="O66" s="3">
        <f t="shared" si="11"/>
        <v>528.984</v>
      </c>
      <c r="P66" s="3">
        <f t="shared" si="12"/>
        <v>628.06</v>
      </c>
      <c r="Q66" s="3">
        <f t="shared" si="13"/>
        <v>351.016</v>
      </c>
      <c r="R66" s="3">
        <f t="shared" si="14"/>
        <v>604.996</v>
      </c>
      <c r="S66" s="3">
        <f t="shared" si="15"/>
        <v>492.96</v>
      </c>
      <c r="T66" s="3">
        <f t="shared" si="16"/>
        <v>496.992</v>
      </c>
      <c r="U66" s="3">
        <f t="shared" si="17"/>
        <v>407.04</v>
      </c>
      <c r="V66" s="3">
        <f t="shared" si="18"/>
        <v>621.984</v>
      </c>
      <c r="W66" s="3">
        <f t="shared" si="19"/>
        <v>498.976</v>
      </c>
      <c r="X66" s="3">
        <f t="shared" si="20"/>
        <v>521.04</v>
      </c>
      <c r="Y66" s="3">
        <f t="shared" si="21"/>
        <v>558.992</v>
      </c>
      <c r="Z66" s="3">
        <f t="shared" si="22"/>
        <v>561</v>
      </c>
      <c r="AA66" s="3">
        <f t="shared" si="23"/>
        <v>782.44</v>
      </c>
      <c r="AB66" s="3">
        <f t="shared" si="24"/>
        <v>366.048</v>
      </c>
      <c r="AC66" s="3">
        <f t="shared" si="25"/>
        <v>415.968</v>
      </c>
      <c r="AD66" s="3">
        <f t="shared" si="26"/>
        <v>417.012</v>
      </c>
      <c r="AE66" s="3">
        <f t="shared" si="27"/>
        <v>393</v>
      </c>
      <c r="AF66" s="3">
        <f t="shared" si="28"/>
        <v>387.996</v>
      </c>
      <c r="AG66" s="3">
        <f t="shared" si="29"/>
        <v>389.04</v>
      </c>
      <c r="AH66" s="3">
        <f t="shared" si="30"/>
        <v>376.96</v>
      </c>
      <c r="AI66" s="3">
        <f t="shared" si="31"/>
        <v>380.06</v>
      </c>
      <c r="AJ66" s="3">
        <f t="shared" si="32"/>
        <v>468</v>
      </c>
      <c r="AK66" s="3">
        <f t="shared" si="33"/>
        <v>363.94</v>
      </c>
      <c r="AL66" s="3">
        <f t="shared" si="34"/>
        <v>384</v>
      </c>
      <c r="AM66" s="3">
        <f t="shared" si="35"/>
        <v>510.012</v>
      </c>
    </row>
    <row r="67" spans="4:39">
      <c r="D67" s="3">
        <f t="shared" si="0"/>
        <v>3224.806</v>
      </c>
      <c r="E67" s="3">
        <f t="shared" si="1"/>
        <v>4541.628</v>
      </c>
      <c r="F67" s="3">
        <f t="shared" si="2"/>
        <v>4229.082</v>
      </c>
      <c r="G67" s="3">
        <f t="shared" si="3"/>
        <v>3779.1</v>
      </c>
      <c r="H67" s="3">
        <f t="shared" si="4"/>
        <v>3805.126</v>
      </c>
      <c r="I67" s="3">
        <f t="shared" si="5"/>
        <v>3692.91</v>
      </c>
      <c r="J67" s="3">
        <f t="shared" si="6"/>
        <v>4302.025</v>
      </c>
      <c r="K67" s="3">
        <f t="shared" si="7"/>
        <v>4214.977</v>
      </c>
      <c r="L67" s="3">
        <f t="shared" si="8"/>
        <v>3579.81</v>
      </c>
      <c r="M67" s="3">
        <f t="shared" si="9"/>
        <v>3419.858</v>
      </c>
      <c r="N67" s="3">
        <f t="shared" si="10"/>
        <v>3939</v>
      </c>
      <c r="O67" s="3">
        <f t="shared" si="11"/>
        <v>3921.19</v>
      </c>
      <c r="P67" s="3">
        <f t="shared" si="12"/>
        <v>4146.064</v>
      </c>
      <c r="Q67" s="3">
        <f t="shared" si="13"/>
        <v>2540.98</v>
      </c>
      <c r="R67" s="3">
        <f t="shared" si="14"/>
        <v>4084.808</v>
      </c>
      <c r="S67" s="3">
        <f t="shared" si="15"/>
        <v>3664.05</v>
      </c>
      <c r="T67" s="3">
        <f t="shared" si="16"/>
        <v>3633.851</v>
      </c>
      <c r="U67" s="3">
        <f t="shared" si="17"/>
        <v>3673.02</v>
      </c>
      <c r="V67" s="3">
        <f t="shared" si="18"/>
        <v>4123.899</v>
      </c>
      <c r="W67" s="3">
        <f t="shared" si="19"/>
        <v>4169.841</v>
      </c>
      <c r="X67" s="3">
        <f t="shared" si="20"/>
        <v>3327.09</v>
      </c>
      <c r="Y67" s="3">
        <f t="shared" si="21"/>
        <v>3196.999</v>
      </c>
      <c r="Z67" s="3">
        <f t="shared" si="22"/>
        <v>3807.18</v>
      </c>
      <c r="AA67" s="3">
        <f t="shared" si="23"/>
        <v>3913.13</v>
      </c>
      <c r="AB67" s="3">
        <f t="shared" si="24"/>
        <v>3226.821</v>
      </c>
      <c r="AC67" s="3">
        <f t="shared" si="25"/>
        <v>3189.004</v>
      </c>
      <c r="AD67" s="3">
        <f t="shared" si="26"/>
        <v>3624.179</v>
      </c>
      <c r="AE67" s="3">
        <f t="shared" si="27"/>
        <v>3008.07</v>
      </c>
      <c r="AF67" s="3">
        <f t="shared" si="28"/>
        <v>2318.862</v>
      </c>
      <c r="AG67" s="3">
        <f t="shared" si="29"/>
        <v>2345.85</v>
      </c>
      <c r="AH67" s="3">
        <f t="shared" si="30"/>
        <v>2769.819</v>
      </c>
      <c r="AI67" s="3">
        <f t="shared" si="31"/>
        <v>2602.977</v>
      </c>
      <c r="AJ67" s="3">
        <f t="shared" si="32"/>
        <v>2533.83</v>
      </c>
      <c r="AK67" s="3">
        <f t="shared" si="33"/>
        <v>2189.902</v>
      </c>
      <c r="AL67" s="3">
        <f t="shared" si="34"/>
        <v>2604.81</v>
      </c>
      <c r="AM67" s="3">
        <f t="shared" si="35"/>
        <v>2781.909</v>
      </c>
    </row>
    <row r="68" spans="4:39">
      <c r="D68" s="3">
        <f t="shared" si="0"/>
        <v>1407.896</v>
      </c>
      <c r="E68" s="3">
        <f t="shared" si="1"/>
        <v>2077.012</v>
      </c>
      <c r="F68" s="3">
        <f t="shared" si="2"/>
        <v>2355.969</v>
      </c>
      <c r="G68" s="3">
        <f t="shared" si="3"/>
        <v>1942.08</v>
      </c>
      <c r="H68" s="3">
        <f t="shared" si="4"/>
        <v>2064.104</v>
      </c>
      <c r="I68" s="3">
        <f t="shared" si="5"/>
        <v>2155.02</v>
      </c>
      <c r="J68" s="3">
        <f t="shared" si="6"/>
        <v>2097.956</v>
      </c>
      <c r="K68" s="3">
        <f t="shared" si="7"/>
        <v>2110.108</v>
      </c>
      <c r="L68" s="3">
        <f t="shared" si="8"/>
        <v>1987.02</v>
      </c>
      <c r="M68" s="3">
        <f t="shared" si="9"/>
        <v>1944.103</v>
      </c>
      <c r="N68" s="3">
        <f t="shared" si="10"/>
        <v>2367.96</v>
      </c>
      <c r="O68" s="3">
        <f t="shared" si="11"/>
        <v>2128.987</v>
      </c>
      <c r="P68" s="3">
        <f t="shared" si="12"/>
        <v>2367.036</v>
      </c>
      <c r="Q68" s="3">
        <f t="shared" si="13"/>
        <v>1576.092</v>
      </c>
      <c r="R68" s="3">
        <f t="shared" si="14"/>
        <v>2301.068</v>
      </c>
      <c r="S68" s="3">
        <f t="shared" si="15"/>
        <v>2076.9</v>
      </c>
      <c r="T68" s="3">
        <f t="shared" si="16"/>
        <v>2102.079</v>
      </c>
      <c r="U68" s="3">
        <f t="shared" si="17"/>
        <v>1829.94</v>
      </c>
      <c r="V68" s="3">
        <f t="shared" si="18"/>
        <v>2207.107</v>
      </c>
      <c r="W68" s="3">
        <f t="shared" si="19"/>
        <v>2151.989</v>
      </c>
      <c r="X68" s="3">
        <f t="shared" si="20"/>
        <v>2060.1</v>
      </c>
      <c r="Y68" s="3">
        <f t="shared" si="21"/>
        <v>2047.829</v>
      </c>
      <c r="Z68" s="3">
        <f t="shared" si="22"/>
        <v>2299.92</v>
      </c>
      <c r="AA68" s="3">
        <f t="shared" si="23"/>
        <v>2209.06</v>
      </c>
      <c r="AB68" s="3">
        <f t="shared" si="24"/>
        <v>1676.976</v>
      </c>
      <c r="AC68" s="3">
        <f t="shared" si="25"/>
        <v>1738.912</v>
      </c>
      <c r="AD68" s="3">
        <f t="shared" si="26"/>
        <v>1688.911</v>
      </c>
      <c r="AE68" s="3">
        <f t="shared" si="27"/>
        <v>1819.02</v>
      </c>
      <c r="AF68" s="3">
        <f t="shared" si="28"/>
        <v>1882.041</v>
      </c>
      <c r="AG68" s="3">
        <f t="shared" si="29"/>
        <v>2018.1</v>
      </c>
      <c r="AH68" s="3">
        <f t="shared" si="30"/>
        <v>2099.041</v>
      </c>
      <c r="AI68" s="3">
        <f t="shared" si="31"/>
        <v>2025.912</v>
      </c>
      <c r="AJ68" s="3">
        <f t="shared" si="32"/>
        <v>1844.01</v>
      </c>
      <c r="AK68" s="3">
        <f t="shared" si="33"/>
        <v>1653.974</v>
      </c>
      <c r="AL68" s="3">
        <f t="shared" si="34"/>
        <v>1935.99</v>
      </c>
      <c r="AM68" s="3">
        <f t="shared" si="35"/>
        <v>1977.955</v>
      </c>
    </row>
    <row r="69" spans="4:39">
      <c r="D69" s="3">
        <f t="shared" si="0"/>
        <v>963.728</v>
      </c>
      <c r="E69" s="3">
        <f t="shared" si="1"/>
        <v>1348.704</v>
      </c>
      <c r="F69" s="3">
        <f t="shared" si="2"/>
        <v>1581.248</v>
      </c>
      <c r="G69" s="3">
        <f t="shared" si="3"/>
        <v>1366.2</v>
      </c>
      <c r="H69" s="3">
        <f t="shared" si="4"/>
        <v>1251.284</v>
      </c>
      <c r="I69" s="3">
        <f t="shared" si="5"/>
        <v>927.72</v>
      </c>
      <c r="J69" s="3">
        <f t="shared" si="6"/>
        <v>1039.988</v>
      </c>
      <c r="K69" s="3">
        <f t="shared" si="7"/>
        <v>903.96</v>
      </c>
      <c r="L69" s="3">
        <f t="shared" si="8"/>
        <v>1146.96</v>
      </c>
      <c r="M69" s="3">
        <f t="shared" si="9"/>
        <v>1055.984</v>
      </c>
      <c r="N69" s="3">
        <f t="shared" si="10"/>
        <v>1299</v>
      </c>
      <c r="O69" s="3">
        <f t="shared" si="11"/>
        <v>1091.944</v>
      </c>
      <c r="P69" s="3">
        <f t="shared" si="12"/>
        <v>926.032</v>
      </c>
      <c r="Q69" s="3">
        <f t="shared" si="13"/>
        <v>446.02</v>
      </c>
      <c r="R69" s="3">
        <f t="shared" si="14"/>
        <v>1217.06</v>
      </c>
      <c r="S69" s="3">
        <f t="shared" si="15"/>
        <v>1068</v>
      </c>
      <c r="T69" s="3">
        <f t="shared" si="16"/>
        <v>1115.008</v>
      </c>
      <c r="U69" s="3">
        <f t="shared" si="17"/>
        <v>956.04</v>
      </c>
      <c r="V69" s="3">
        <f t="shared" si="18"/>
        <v>1013.948</v>
      </c>
      <c r="W69" s="3">
        <f t="shared" si="19"/>
        <v>952.94</v>
      </c>
      <c r="X69" s="3">
        <f t="shared" si="20"/>
        <v>1271.04</v>
      </c>
      <c r="Y69" s="3">
        <f t="shared" si="21"/>
        <v>1145.884</v>
      </c>
      <c r="Z69" s="3">
        <f t="shared" si="22"/>
        <v>1437</v>
      </c>
      <c r="AA69" s="3">
        <f t="shared" si="23"/>
        <v>1299.52</v>
      </c>
      <c r="AB69" s="3">
        <f t="shared" si="24"/>
        <v>748.96</v>
      </c>
      <c r="AC69" s="3">
        <f t="shared" si="25"/>
        <v>988.96</v>
      </c>
      <c r="AD69" s="3">
        <f t="shared" si="26"/>
        <v>1300.016</v>
      </c>
      <c r="AE69" s="3">
        <f t="shared" si="27"/>
        <v>1148.04</v>
      </c>
      <c r="AF69" s="3">
        <f t="shared" si="28"/>
        <v>919.956</v>
      </c>
      <c r="AG69" s="3">
        <f t="shared" si="29"/>
        <v>948</v>
      </c>
      <c r="AH69" s="3">
        <f t="shared" si="30"/>
        <v>1175.024</v>
      </c>
      <c r="AI69" s="3">
        <f t="shared" si="31"/>
        <v>1300.016</v>
      </c>
      <c r="AJ69" s="3">
        <f t="shared" si="32"/>
        <v>1263</v>
      </c>
      <c r="AK69" s="3">
        <f t="shared" si="33"/>
        <v>1382.972</v>
      </c>
      <c r="AL69" s="3">
        <f t="shared" si="34"/>
        <v>1536.96</v>
      </c>
      <c r="AM69" s="3">
        <f t="shared" si="35"/>
        <v>1459.976</v>
      </c>
    </row>
    <row r="70" spans="4:39">
      <c r="D70" s="3">
        <f t="shared" si="0"/>
        <v>470.022</v>
      </c>
      <c r="E70" s="3">
        <f t="shared" si="1"/>
        <v>539</v>
      </c>
      <c r="F70" s="3">
        <f t="shared" si="2"/>
        <v>627.998</v>
      </c>
      <c r="G70" s="3">
        <f t="shared" si="3"/>
        <v>508.02</v>
      </c>
      <c r="H70" s="3">
        <f t="shared" si="4"/>
        <v>589.992</v>
      </c>
      <c r="I70" s="3">
        <f t="shared" si="5"/>
        <v>607.02</v>
      </c>
      <c r="J70" s="3">
        <f t="shared" si="6"/>
        <v>614.978</v>
      </c>
      <c r="K70" s="3">
        <f t="shared" si="7"/>
        <v>534.998</v>
      </c>
      <c r="L70" s="3">
        <f t="shared" si="8"/>
        <v>354</v>
      </c>
      <c r="M70" s="3">
        <f t="shared" si="9"/>
        <v>478.02</v>
      </c>
      <c r="N70" s="3">
        <f t="shared" si="10"/>
        <v>601.98</v>
      </c>
      <c r="O70" s="3">
        <f t="shared" si="11"/>
        <v>556.016</v>
      </c>
      <c r="P70" s="3">
        <f t="shared" si="12"/>
        <v>474.982</v>
      </c>
      <c r="Q70" s="3">
        <f t="shared" si="13"/>
        <v>297.018</v>
      </c>
      <c r="R70" s="3">
        <f t="shared" si="14"/>
        <v>646.97</v>
      </c>
      <c r="S70" s="3">
        <f t="shared" si="15"/>
        <v>520.98</v>
      </c>
      <c r="T70" s="3">
        <f t="shared" si="16"/>
        <v>482.98</v>
      </c>
      <c r="U70" s="3">
        <f t="shared" si="17"/>
        <v>448.02</v>
      </c>
      <c r="V70" s="3">
        <f t="shared" si="18"/>
        <v>496</v>
      </c>
      <c r="W70" s="3">
        <f t="shared" si="19"/>
        <v>521.978</v>
      </c>
      <c r="X70" s="3">
        <f t="shared" si="20"/>
        <v>405</v>
      </c>
      <c r="Y70" s="3">
        <f t="shared" si="21"/>
        <v>476.966</v>
      </c>
      <c r="Z70" s="3">
        <f t="shared" si="22"/>
        <v>496.02</v>
      </c>
      <c r="AA70" s="3">
        <f t="shared" si="23"/>
        <v>522.04</v>
      </c>
      <c r="AB70" s="3">
        <f t="shared" si="24"/>
        <v>395.002</v>
      </c>
      <c r="AC70" s="3">
        <f t="shared" si="25"/>
        <v>401.016</v>
      </c>
      <c r="AD70" s="3">
        <f t="shared" si="26"/>
        <v>336.97</v>
      </c>
      <c r="AE70" s="3">
        <f t="shared" si="27"/>
        <v>361.98</v>
      </c>
      <c r="AF70" s="3">
        <f t="shared" si="28"/>
        <v>392.026</v>
      </c>
      <c r="AG70" s="3">
        <f t="shared" si="29"/>
        <v>487.02</v>
      </c>
      <c r="AH70" s="3">
        <f t="shared" si="30"/>
        <v>505.982</v>
      </c>
      <c r="AI70" s="3">
        <f t="shared" si="31"/>
        <v>464.008</v>
      </c>
      <c r="AJ70" s="3">
        <f t="shared" si="32"/>
        <v>483</v>
      </c>
      <c r="AK70" s="3">
        <f t="shared" si="33"/>
        <v>456.01</v>
      </c>
      <c r="AL70" s="3">
        <f t="shared" si="34"/>
        <v>543</v>
      </c>
      <c r="AM70" s="3">
        <f t="shared" si="35"/>
        <v>533.014</v>
      </c>
    </row>
  </sheetData>
  <mergeCells count="4">
    <mergeCell ref="D1:AM1"/>
    <mergeCell ref="A1:A2"/>
    <mergeCell ref="B1:B2"/>
    <mergeCell ref="C1:C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R32"/>
  <sheetViews>
    <sheetView tabSelected="1" workbookViewId="0">
      <selection activeCell="C3" sqref="C3:AL32"/>
    </sheetView>
  </sheetViews>
  <sheetFormatPr defaultColWidth="8.89189189189189" defaultRowHeight="14.1"/>
  <cols>
    <col min="1" max="1" width="20.5585585585586" style="1" customWidth="1"/>
    <col min="2" max="2" width="7.44144144144144" style="2" customWidth="1"/>
    <col min="3" max="6" width="9.46846846846847" style="3"/>
    <col min="7" max="8" width="10.5495495495495" style="3"/>
    <col min="9" max="9" width="9.46846846846847" style="3"/>
    <col min="10" max="12" width="10.5495495495495" style="3"/>
    <col min="13" max="13" width="9.46846846846847" style="3"/>
    <col min="14" max="14" width="10.5495495495495" style="3"/>
    <col min="15" max="15" width="9.46846846846847" style="3"/>
    <col min="16" max="25" width="10.5495495495495" style="3"/>
    <col min="26" max="30" width="9.46846846846847" style="3"/>
    <col min="31" max="32" width="10.5495495495495" style="3"/>
    <col min="33" max="33" width="9.46846846846847" style="3"/>
    <col min="34" max="38" width="10.5495495495495" style="3"/>
    <col min="39" max="16232" width="8.89189189189189" style="3"/>
    <col min="16233" max="16384" width="8.89189189189189" style="4"/>
  </cols>
  <sheetData>
    <row r="1" spans="1:174">
      <c r="A1" s="1" t="s">
        <v>37</v>
      </c>
      <c r="B1" s="5" t="s">
        <v>38</v>
      </c>
      <c r="C1" s="6" t="s">
        <v>106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174">
      <c r="B2" s="5"/>
      <c r="C2" s="8" t="s">
        <v>40</v>
      </c>
      <c r="D2" s="8" t="s">
        <v>41</v>
      </c>
      <c r="E2" s="8" t="s">
        <v>42</v>
      </c>
      <c r="F2" s="8" t="s">
        <v>43</v>
      </c>
      <c r="G2" s="8" t="s">
        <v>44</v>
      </c>
      <c r="H2" s="8" t="s">
        <v>45</v>
      </c>
      <c r="I2" s="8" t="s">
        <v>46</v>
      </c>
      <c r="J2" s="8" t="s">
        <v>47</v>
      </c>
      <c r="K2" s="8" t="s">
        <v>48</v>
      </c>
      <c r="L2" s="8" t="s">
        <v>49</v>
      </c>
      <c r="M2" s="8" t="s">
        <v>50</v>
      </c>
      <c r="N2" s="8" t="s">
        <v>51</v>
      </c>
      <c r="O2" s="8" t="s">
        <v>52</v>
      </c>
      <c r="P2" s="8" t="s">
        <v>53</v>
      </c>
      <c r="Q2" s="8" t="s">
        <v>54</v>
      </c>
      <c r="R2" s="8" t="s">
        <v>55</v>
      </c>
      <c r="S2" s="8" t="s">
        <v>56</v>
      </c>
      <c r="T2" s="8" t="s">
        <v>57</v>
      </c>
      <c r="U2" s="8" t="s">
        <v>58</v>
      </c>
      <c r="V2" s="8" t="s">
        <v>59</v>
      </c>
      <c r="W2" s="8" t="s">
        <v>60</v>
      </c>
      <c r="X2" s="8" t="s">
        <v>61</v>
      </c>
      <c r="Y2" s="8" t="s">
        <v>62</v>
      </c>
      <c r="Z2" s="8" t="s">
        <v>63</v>
      </c>
      <c r="AA2" s="8" t="s">
        <v>64</v>
      </c>
      <c r="AB2" s="8" t="s">
        <v>65</v>
      </c>
      <c r="AC2" s="8" t="s">
        <v>66</v>
      </c>
      <c r="AD2" s="8" t="s">
        <v>67</v>
      </c>
      <c r="AE2" s="8" t="s">
        <v>68</v>
      </c>
      <c r="AF2" s="8" t="s">
        <v>69</v>
      </c>
      <c r="AG2" s="8" t="s">
        <v>70</v>
      </c>
      <c r="AH2" s="8" t="s">
        <v>71</v>
      </c>
      <c r="AI2" s="8" t="s">
        <v>72</v>
      </c>
      <c r="AJ2" s="8" t="s">
        <v>73</v>
      </c>
      <c r="AK2" s="8" t="s">
        <v>74</v>
      </c>
      <c r="AL2" s="8" t="s">
        <v>75</v>
      </c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</row>
    <row r="3" ht="14.15" spans="1:174">
      <c r="A3" s="1" t="s">
        <v>76</v>
      </c>
      <c r="B3" s="2">
        <v>175</v>
      </c>
      <c r="C3" s="10">
        <v>3831.135</v>
      </c>
      <c r="D3" s="10">
        <v>5421.85</v>
      </c>
      <c r="E3" s="10">
        <v>5696.25</v>
      </c>
      <c r="F3" s="10">
        <v>4933.95</v>
      </c>
      <c r="G3" s="10">
        <v>4852.12</v>
      </c>
      <c r="H3" s="10">
        <v>4245.15</v>
      </c>
      <c r="I3" s="10">
        <v>3366.2125</v>
      </c>
      <c r="J3" s="10">
        <v>3624.985</v>
      </c>
      <c r="K3" s="10">
        <v>3763.2</v>
      </c>
      <c r="L3" s="10">
        <v>4392.08</v>
      </c>
      <c r="M3" s="10">
        <v>5179.125</v>
      </c>
      <c r="N3" s="10">
        <v>4764.235</v>
      </c>
      <c r="O3" s="10">
        <v>5026.2625</v>
      </c>
      <c r="P3" s="10">
        <v>2695.84</v>
      </c>
      <c r="Q3" s="10">
        <v>5607.8225</v>
      </c>
      <c r="R3" s="10">
        <v>4664.1</v>
      </c>
      <c r="S3" s="10">
        <v>4438.735</v>
      </c>
      <c r="T3" s="10">
        <v>3813.075</v>
      </c>
      <c r="U3" s="10">
        <v>3209.9725</v>
      </c>
      <c r="V3" s="10">
        <v>3749.76</v>
      </c>
      <c r="W3" s="10">
        <v>3902.85</v>
      </c>
      <c r="X3" s="10">
        <v>4612.8775</v>
      </c>
      <c r="Y3" s="10">
        <v>5247.9</v>
      </c>
      <c r="Z3" s="10">
        <v>5365.325</v>
      </c>
      <c r="AA3" s="10">
        <v>3954.825</v>
      </c>
      <c r="AB3" s="10">
        <v>4555.04</v>
      </c>
      <c r="AC3" s="10">
        <v>5172.195</v>
      </c>
      <c r="AD3" s="10">
        <v>4076.1</v>
      </c>
      <c r="AE3" s="10">
        <v>3972.185</v>
      </c>
      <c r="AF3" s="10">
        <v>3903.9</v>
      </c>
      <c r="AG3" s="10">
        <v>3906</v>
      </c>
      <c r="AH3" s="10">
        <v>3615.22</v>
      </c>
      <c r="AI3" s="10">
        <v>4269.825</v>
      </c>
      <c r="AJ3" s="10">
        <v>4460.9775</v>
      </c>
      <c r="AK3" s="10">
        <v>4967.025</v>
      </c>
      <c r="AL3" s="10">
        <v>5049.0475</v>
      </c>
    </row>
    <row r="4" ht="14.15" spans="1:174">
      <c r="A4" s="1" t="s">
        <v>77</v>
      </c>
      <c r="B4" s="2">
        <v>127</v>
      </c>
      <c r="C4" s="10">
        <v>3759.0476</v>
      </c>
      <c r="D4" s="10">
        <v>3940.048</v>
      </c>
      <c r="E4" s="10">
        <v>4290.9363</v>
      </c>
      <c r="F4" s="10">
        <v>4078.986</v>
      </c>
      <c r="G4" s="10">
        <v>4143.2988</v>
      </c>
      <c r="H4" s="10">
        <v>3467.862</v>
      </c>
      <c r="I4" s="10">
        <v>3848.0238</v>
      </c>
      <c r="J4" s="10">
        <v>3814.953</v>
      </c>
      <c r="K4" s="10">
        <v>3630.93</v>
      </c>
      <c r="L4" s="10">
        <v>3624.0085</v>
      </c>
      <c r="M4" s="10">
        <v>3712.845</v>
      </c>
      <c r="N4" s="10">
        <v>3846.0553</v>
      </c>
      <c r="O4" s="10">
        <v>3892.1182</v>
      </c>
      <c r="P4" s="10">
        <v>3196.844</v>
      </c>
      <c r="Q4" s="10">
        <v>3916.9213</v>
      </c>
      <c r="R4" s="10">
        <v>3768.09</v>
      </c>
      <c r="S4" s="10">
        <v>3829.9136</v>
      </c>
      <c r="T4" s="10">
        <v>3747.897</v>
      </c>
      <c r="U4" s="10">
        <v>3885.819</v>
      </c>
      <c r="V4" s="10">
        <v>3842.9057</v>
      </c>
      <c r="W4" s="10">
        <v>3704.082</v>
      </c>
      <c r="X4" s="10">
        <v>3762.9846</v>
      </c>
      <c r="Y4" s="10">
        <v>3741.039</v>
      </c>
      <c r="Z4" s="10">
        <v>3877.945</v>
      </c>
      <c r="AA4" s="10">
        <v>3594.8747</v>
      </c>
      <c r="AB4" s="10">
        <v>3314.9032</v>
      </c>
      <c r="AC4" s="10">
        <v>3862.9844</v>
      </c>
      <c r="AD4" s="10">
        <v>3662.934</v>
      </c>
      <c r="AE4" s="10">
        <v>3740.15</v>
      </c>
      <c r="AF4" s="10">
        <v>3785.997</v>
      </c>
      <c r="AG4" s="10">
        <v>3898.8111</v>
      </c>
      <c r="AH4" s="10">
        <v>3888.9686</v>
      </c>
      <c r="AI4" s="10">
        <v>3766.185</v>
      </c>
      <c r="AJ4" s="10">
        <v>3825.1892</v>
      </c>
      <c r="AK4" s="10">
        <v>3803.142</v>
      </c>
      <c r="AL4" s="10">
        <v>3879.1261</v>
      </c>
    </row>
    <row r="5" ht="14.15" spans="1:174">
      <c r="A5" s="1" t="s">
        <v>78</v>
      </c>
      <c r="B5" s="2">
        <v>100</v>
      </c>
      <c r="C5" s="10">
        <v>3209.43</v>
      </c>
      <c r="D5" s="10">
        <v>3611.72</v>
      </c>
      <c r="E5" s="10">
        <v>4277.07</v>
      </c>
      <c r="F5" s="10">
        <v>4131</v>
      </c>
      <c r="G5" s="10">
        <v>4268.7</v>
      </c>
      <c r="H5" s="10">
        <v>4137.6</v>
      </c>
      <c r="I5" s="10">
        <v>4316.44</v>
      </c>
      <c r="J5" s="10">
        <v>4350.85</v>
      </c>
      <c r="K5" s="10">
        <v>3093</v>
      </c>
      <c r="L5" s="10">
        <v>3134.1</v>
      </c>
      <c r="M5" s="10">
        <v>3309.9</v>
      </c>
      <c r="N5" s="10">
        <v>3324.13</v>
      </c>
      <c r="O5" s="10">
        <v>3303.05</v>
      </c>
      <c r="P5" s="10">
        <v>2163.11</v>
      </c>
      <c r="Q5" s="10">
        <v>3366.91</v>
      </c>
      <c r="R5" s="10">
        <v>3246.9</v>
      </c>
      <c r="S5" s="10">
        <v>3134.1</v>
      </c>
      <c r="T5" s="10">
        <v>2951.1</v>
      </c>
      <c r="U5" s="10">
        <v>3373.11</v>
      </c>
      <c r="V5" s="10">
        <v>3337.15</v>
      </c>
      <c r="W5" s="10">
        <v>3237.9</v>
      </c>
      <c r="X5" s="10">
        <v>3233.92</v>
      </c>
      <c r="Y5" s="10">
        <v>3366</v>
      </c>
      <c r="Z5" s="10">
        <v>3422.4</v>
      </c>
      <c r="AA5" s="10">
        <v>2890.13</v>
      </c>
      <c r="AB5" s="10">
        <v>2905</v>
      </c>
      <c r="AC5" s="10">
        <v>2970.11</v>
      </c>
      <c r="AD5" s="10">
        <v>3090.9</v>
      </c>
      <c r="AE5" s="10">
        <v>3090.08</v>
      </c>
      <c r="AF5" s="10">
        <v>3167.1</v>
      </c>
      <c r="AG5" s="10">
        <v>3422.09</v>
      </c>
      <c r="AH5" s="10">
        <v>3397.91</v>
      </c>
      <c r="AI5" s="10">
        <v>3360.9</v>
      </c>
      <c r="AJ5" s="10">
        <v>3237.02</v>
      </c>
      <c r="AK5" s="10">
        <v>3446.1</v>
      </c>
      <c r="AL5" s="10">
        <v>3441.93</v>
      </c>
    </row>
    <row r="6" ht="14.15" spans="1:174">
      <c r="A6" s="1" t="s">
        <v>79</v>
      </c>
      <c r="B6" s="2">
        <v>164</v>
      </c>
      <c r="C6" s="10">
        <v>4388.0004</v>
      </c>
      <c r="D6" s="10">
        <v>4596.1328</v>
      </c>
      <c r="E6" s="10">
        <v>5050.954</v>
      </c>
      <c r="F6" s="10">
        <v>4694.172</v>
      </c>
      <c r="G6" s="10">
        <v>4796.754</v>
      </c>
      <c r="H6" s="10">
        <v>4766.004</v>
      </c>
      <c r="I6" s="10">
        <v>4875.0476</v>
      </c>
      <c r="J6" s="10">
        <v>4785.0608</v>
      </c>
      <c r="K6" s="10">
        <v>4332.06</v>
      </c>
      <c r="L6" s="10">
        <v>4403.2524</v>
      </c>
      <c r="M6" s="10">
        <v>4821.108</v>
      </c>
      <c r="N6" s="10">
        <v>5075.8656</v>
      </c>
      <c r="O6" s="10">
        <v>5115.0124</v>
      </c>
      <c r="P6" s="10">
        <v>3857.116</v>
      </c>
      <c r="Q6" s="10">
        <v>5077.8992</v>
      </c>
      <c r="R6" s="10">
        <v>4870.8</v>
      </c>
      <c r="S6" s="10">
        <v>4947.7488</v>
      </c>
      <c r="T6" s="10">
        <v>4775.844</v>
      </c>
      <c r="U6" s="10">
        <v>4984.862</v>
      </c>
      <c r="V6" s="10">
        <v>4977.236</v>
      </c>
      <c r="W6" s="10">
        <v>4666.128</v>
      </c>
      <c r="X6" s="10">
        <v>3663.5304</v>
      </c>
      <c r="Y6" s="10">
        <v>3966.012</v>
      </c>
      <c r="Z6" s="10">
        <v>5160.26</v>
      </c>
      <c r="AA6" s="10">
        <v>4560.8564</v>
      </c>
      <c r="AB6" s="10">
        <v>4303.1632</v>
      </c>
      <c r="AC6" s="10">
        <v>4769.8088</v>
      </c>
      <c r="AD6" s="10">
        <v>4630.212</v>
      </c>
      <c r="AE6" s="10">
        <v>4816.0732</v>
      </c>
      <c r="AF6" s="10">
        <v>4768.956</v>
      </c>
      <c r="AG6" s="10">
        <v>4888.7744</v>
      </c>
      <c r="AH6" s="10">
        <v>4844.0352</v>
      </c>
      <c r="AI6" s="10">
        <v>4764.036</v>
      </c>
      <c r="AJ6" s="10">
        <v>4735.746</v>
      </c>
      <c r="AK6" s="10">
        <v>4994.784</v>
      </c>
      <c r="AL6" s="10">
        <v>5159.2432</v>
      </c>
    </row>
    <row r="7" ht="14.15" spans="1:174">
      <c r="A7" s="1" t="s">
        <v>80</v>
      </c>
      <c r="B7" s="2">
        <v>97</v>
      </c>
      <c r="C7" s="10">
        <v>3094.5037</v>
      </c>
      <c r="D7" s="10">
        <v>4025.3836</v>
      </c>
      <c r="E7" s="10">
        <v>4440.4369</v>
      </c>
      <c r="F7" s="10">
        <v>4119.687</v>
      </c>
      <c r="G7" s="10">
        <v>4022.7646</v>
      </c>
      <c r="H7" s="10">
        <v>3816.756</v>
      </c>
      <c r="I7" s="10">
        <v>3799.3445</v>
      </c>
      <c r="J7" s="10">
        <v>3326.0427</v>
      </c>
      <c r="K7" s="10">
        <v>3063.066</v>
      </c>
      <c r="L7" s="10">
        <v>2903.8599</v>
      </c>
      <c r="M7" s="10">
        <v>3100.023</v>
      </c>
      <c r="N7" s="10">
        <v>3256.8817</v>
      </c>
      <c r="O7" s="10">
        <v>3360.9239</v>
      </c>
      <c r="P7" s="10">
        <v>2259.9642</v>
      </c>
      <c r="Q7" s="10">
        <v>3679.0645</v>
      </c>
      <c r="R7" s="10">
        <v>3327.003</v>
      </c>
      <c r="S7" s="10">
        <v>3408.1338</v>
      </c>
      <c r="T7" s="10">
        <v>3336.024</v>
      </c>
      <c r="U7" s="10">
        <v>3603.8895</v>
      </c>
      <c r="V7" s="10">
        <v>3624.0364</v>
      </c>
      <c r="W7" s="10">
        <v>3347.082</v>
      </c>
      <c r="X7" s="10">
        <v>3341.9798</v>
      </c>
      <c r="Y7" s="10">
        <v>3514.116</v>
      </c>
      <c r="Z7" s="10">
        <v>3590.358</v>
      </c>
      <c r="AA7" s="10">
        <v>2665.1041</v>
      </c>
      <c r="AB7" s="10">
        <v>3053.0556</v>
      </c>
      <c r="AC7" s="10">
        <v>3188.9235</v>
      </c>
      <c r="AD7" s="10">
        <v>3146.874</v>
      </c>
      <c r="AE7" s="10">
        <v>3055.112</v>
      </c>
      <c r="AF7" s="10">
        <v>3155.022</v>
      </c>
      <c r="AG7" s="10">
        <v>3344.9868</v>
      </c>
      <c r="AH7" s="10">
        <v>3199.1473</v>
      </c>
      <c r="AI7" s="10">
        <v>3274.914</v>
      </c>
      <c r="AJ7" s="10">
        <v>3052.105</v>
      </c>
      <c r="AK7" s="10">
        <v>3485.889</v>
      </c>
      <c r="AL7" s="10">
        <v>3562.0922</v>
      </c>
    </row>
    <row r="8" ht="14.15" spans="1:174">
      <c r="A8" s="1" t="s">
        <v>81</v>
      </c>
      <c r="B8" s="2">
        <v>57</v>
      </c>
      <c r="C8" s="10">
        <v>917.073</v>
      </c>
      <c r="D8" s="10">
        <v>1672.9272</v>
      </c>
      <c r="E8" s="10">
        <v>1985.9313</v>
      </c>
      <c r="F8" s="10">
        <v>1587.051</v>
      </c>
      <c r="G8" s="10">
        <v>1729.0095</v>
      </c>
      <c r="H8" s="10">
        <v>1612.017</v>
      </c>
      <c r="I8" s="10">
        <v>1736.0775</v>
      </c>
      <c r="J8" s="10">
        <v>1504.9539</v>
      </c>
      <c r="K8" s="10">
        <v>1482.057</v>
      </c>
      <c r="L8" s="10">
        <v>1439.0448</v>
      </c>
      <c r="M8" s="10">
        <v>1684.008</v>
      </c>
      <c r="N8" s="10">
        <v>1398.0504</v>
      </c>
      <c r="O8" s="10">
        <v>1501.0665</v>
      </c>
      <c r="P8" s="10">
        <v>699.0537</v>
      </c>
      <c r="Q8" s="10">
        <v>1718.0541</v>
      </c>
      <c r="R8" s="10">
        <v>1442.043</v>
      </c>
      <c r="S8" s="10">
        <v>1450.0002</v>
      </c>
      <c r="T8" s="10">
        <v>1292.931</v>
      </c>
      <c r="U8" s="10">
        <v>1372.0755</v>
      </c>
      <c r="V8" s="10">
        <v>1151.0238</v>
      </c>
      <c r="W8" s="10">
        <v>1294.983</v>
      </c>
      <c r="X8" s="10">
        <v>1403.8815</v>
      </c>
      <c r="Y8" s="10">
        <v>1626.039</v>
      </c>
      <c r="Z8" s="10">
        <v>1733.427</v>
      </c>
      <c r="AA8" s="10">
        <v>1230.0087</v>
      </c>
      <c r="AB8" s="10">
        <v>1249.9872</v>
      </c>
      <c r="AC8" s="10">
        <v>1401.0543</v>
      </c>
      <c r="AD8" s="10">
        <v>1241.973</v>
      </c>
      <c r="AE8" s="10">
        <v>1254.9234</v>
      </c>
      <c r="AF8" s="10">
        <v>1279.08</v>
      </c>
      <c r="AG8" s="10">
        <v>1271.0031</v>
      </c>
      <c r="AH8" s="10">
        <v>1277.0109</v>
      </c>
      <c r="AI8" s="10">
        <v>1403.055</v>
      </c>
      <c r="AJ8" s="10">
        <v>1227.0048</v>
      </c>
      <c r="AK8" s="10">
        <v>1548.918</v>
      </c>
      <c r="AL8" s="10">
        <v>1460.9556</v>
      </c>
    </row>
    <row r="9" ht="15.4" spans="1:174">
      <c r="A9" s="1" t="s">
        <v>82</v>
      </c>
      <c r="B9" s="11">
        <v>60</v>
      </c>
      <c r="C9" s="10">
        <v>1755.468</v>
      </c>
      <c r="D9" s="10">
        <v>2434.32</v>
      </c>
      <c r="E9" s="10">
        <v>2792.604</v>
      </c>
      <c r="F9" s="10">
        <v>2727.36</v>
      </c>
      <c r="G9" s="10">
        <v>3089.088</v>
      </c>
      <c r="H9" s="10">
        <v>3122.82</v>
      </c>
      <c r="I9" s="10">
        <v>3513.168</v>
      </c>
      <c r="J9" s="10">
        <v>3353.766</v>
      </c>
      <c r="K9" s="10">
        <v>3165.84</v>
      </c>
      <c r="L9" s="10">
        <v>3149.91</v>
      </c>
      <c r="M9" s="10">
        <v>3107.16</v>
      </c>
      <c r="N9" s="10">
        <v>3069.372</v>
      </c>
      <c r="O9" s="10">
        <v>3377.388</v>
      </c>
      <c r="P9" s="10">
        <v>2216.064</v>
      </c>
      <c r="Q9" s="10">
        <v>3341.304</v>
      </c>
      <c r="R9" s="10">
        <v>2174.04</v>
      </c>
      <c r="S9" s="10">
        <v>2051.022</v>
      </c>
      <c r="T9" s="10">
        <v>2217.06</v>
      </c>
      <c r="U9" s="10">
        <v>2304.912</v>
      </c>
      <c r="V9" s="10">
        <v>1830.054</v>
      </c>
      <c r="W9" s="10">
        <v>2028.96</v>
      </c>
      <c r="X9" s="10">
        <v>2204.844</v>
      </c>
      <c r="Y9" s="10">
        <v>2433.06</v>
      </c>
      <c r="Z9" s="10">
        <v>2583.54</v>
      </c>
      <c r="AA9" s="10">
        <v>1902.966</v>
      </c>
      <c r="AB9" s="10">
        <v>2116.968</v>
      </c>
      <c r="AC9" s="10">
        <v>1910.964</v>
      </c>
      <c r="AD9" s="10">
        <v>2041.02</v>
      </c>
      <c r="AE9" s="10">
        <v>1987.968</v>
      </c>
      <c r="AF9" s="10">
        <v>1936.08</v>
      </c>
      <c r="AG9" s="10">
        <v>2375.964</v>
      </c>
      <c r="AH9" s="10">
        <v>2152.95</v>
      </c>
      <c r="AI9" s="10">
        <v>2035.98</v>
      </c>
      <c r="AJ9" s="10">
        <v>2053.998</v>
      </c>
      <c r="AK9" s="10">
        <v>2181.96</v>
      </c>
      <c r="AL9" s="10">
        <v>2316.072</v>
      </c>
    </row>
    <row r="10" ht="14.15" spans="1:174">
      <c r="A10" s="1" t="s">
        <v>83</v>
      </c>
      <c r="B10" s="2">
        <v>40</v>
      </c>
      <c r="C10" s="10">
        <v>867.008</v>
      </c>
      <c r="D10" s="10">
        <v>1334.032</v>
      </c>
      <c r="E10" s="10">
        <v>1412.98</v>
      </c>
      <c r="F10" s="10">
        <v>1377.96</v>
      </c>
      <c r="G10" s="10">
        <v>1403.06</v>
      </c>
      <c r="H10" s="10">
        <v>1401.96</v>
      </c>
      <c r="I10" s="10">
        <v>1419.056</v>
      </c>
      <c r="J10" s="10">
        <v>1452.04</v>
      </c>
      <c r="K10" s="10">
        <v>1425.96</v>
      </c>
      <c r="L10" s="10">
        <v>1430.96</v>
      </c>
      <c r="M10" s="10">
        <v>1505.04</v>
      </c>
      <c r="N10" s="10">
        <v>1490.976</v>
      </c>
      <c r="O10" s="10">
        <v>1550.992</v>
      </c>
      <c r="P10" s="10">
        <v>892.04</v>
      </c>
      <c r="Q10" s="10">
        <v>1524.952</v>
      </c>
      <c r="R10" s="10">
        <v>1479</v>
      </c>
      <c r="S10" s="10">
        <v>1463.944</v>
      </c>
      <c r="T10" s="10">
        <v>1385.04</v>
      </c>
      <c r="U10" s="10">
        <v>1549.008</v>
      </c>
      <c r="V10" s="10">
        <v>1490.976</v>
      </c>
      <c r="W10" s="10">
        <v>1323</v>
      </c>
      <c r="X10" s="10">
        <v>1298.9</v>
      </c>
      <c r="Y10" s="10">
        <v>1452</v>
      </c>
      <c r="Z10" s="10">
        <v>1568.6</v>
      </c>
      <c r="AA10" s="10">
        <v>1173.04</v>
      </c>
      <c r="AB10" s="10">
        <v>1192.016</v>
      </c>
      <c r="AC10" s="10">
        <v>1419.056</v>
      </c>
      <c r="AD10" s="10">
        <v>1394.04</v>
      </c>
      <c r="AE10" s="10">
        <v>1301.008</v>
      </c>
      <c r="AF10" s="10">
        <v>1434</v>
      </c>
      <c r="AG10" s="10">
        <v>1513.048</v>
      </c>
      <c r="AH10" s="10">
        <v>1603.94</v>
      </c>
      <c r="AI10" s="10">
        <v>1497.96</v>
      </c>
      <c r="AJ10" s="10">
        <v>1274.968</v>
      </c>
      <c r="AK10" s="10">
        <v>1710</v>
      </c>
      <c r="AL10" s="10">
        <v>1662.964</v>
      </c>
    </row>
    <row r="11" ht="14.15" spans="1:174">
      <c r="A11" s="1" t="s">
        <v>84</v>
      </c>
      <c r="B11" s="2">
        <v>35</v>
      </c>
      <c r="C11" s="10">
        <v>753.641</v>
      </c>
      <c r="D11" s="10">
        <v>1153.852</v>
      </c>
      <c r="E11" s="10">
        <v>1247.2075</v>
      </c>
      <c r="F11" s="10">
        <v>1170.12</v>
      </c>
      <c r="G11" s="10">
        <v>1154.9825</v>
      </c>
      <c r="H11" s="10">
        <v>983.745</v>
      </c>
      <c r="I11" s="10">
        <v>1080.009</v>
      </c>
      <c r="J11" s="10">
        <v>945.035</v>
      </c>
      <c r="K11" s="10">
        <v>866.985</v>
      </c>
      <c r="L11" s="10">
        <v>789.012</v>
      </c>
      <c r="M11" s="10">
        <v>1113</v>
      </c>
      <c r="N11" s="10">
        <v>1061.0215</v>
      </c>
      <c r="O11" s="10">
        <v>1180.046</v>
      </c>
      <c r="P11" s="10">
        <v>693.042</v>
      </c>
      <c r="Q11" s="10">
        <v>1264.025</v>
      </c>
      <c r="R11" s="10">
        <v>1160.04</v>
      </c>
      <c r="S11" s="10">
        <v>1129.051</v>
      </c>
      <c r="T11" s="10">
        <v>1193.01</v>
      </c>
      <c r="U11" s="10">
        <v>1237.0085</v>
      </c>
      <c r="V11" s="10">
        <v>1191.0045</v>
      </c>
      <c r="W11" s="10">
        <v>948.045</v>
      </c>
      <c r="X11" s="10">
        <v>1031.9435</v>
      </c>
      <c r="Y11" s="10">
        <v>1193.955</v>
      </c>
      <c r="Z11" s="10">
        <v>1229.305</v>
      </c>
      <c r="AA11" s="10">
        <v>913.0275</v>
      </c>
      <c r="AB11" s="10">
        <v>971.964</v>
      </c>
      <c r="AC11" s="10">
        <v>1066.0125</v>
      </c>
      <c r="AD11" s="10">
        <v>1160.985</v>
      </c>
      <c r="AE11" s="10">
        <v>1098.02</v>
      </c>
      <c r="AF11" s="10">
        <v>1090.95</v>
      </c>
      <c r="AG11" s="10">
        <v>1196.972</v>
      </c>
      <c r="AH11" s="10">
        <v>1135.995</v>
      </c>
      <c r="AI11" s="10">
        <v>1122.975</v>
      </c>
      <c r="AJ11" s="10">
        <v>983.9865</v>
      </c>
      <c r="AK11" s="10">
        <v>1130.01</v>
      </c>
      <c r="AL11" s="10">
        <v>1233.9705</v>
      </c>
    </row>
    <row r="12" ht="14.15" spans="1:174">
      <c r="A12" s="1" t="s">
        <v>85</v>
      </c>
      <c r="B12" s="2">
        <v>45</v>
      </c>
      <c r="C12" s="10">
        <v>979.011</v>
      </c>
      <c r="D12" s="10">
        <v>1277.01</v>
      </c>
      <c r="E12" s="10">
        <v>1359.009</v>
      </c>
      <c r="F12" s="10">
        <v>1239.03</v>
      </c>
      <c r="G12" s="10">
        <v>1115.0235</v>
      </c>
      <c r="H12" s="10">
        <v>1119.96</v>
      </c>
      <c r="I12" s="10">
        <v>1205.9775</v>
      </c>
      <c r="J12" s="10">
        <v>1222.9965</v>
      </c>
      <c r="K12" s="10">
        <v>1053</v>
      </c>
      <c r="L12" s="10">
        <v>1143.063</v>
      </c>
      <c r="M12" s="10">
        <v>1215</v>
      </c>
      <c r="N12" s="10">
        <v>1175.0085</v>
      </c>
      <c r="O12" s="10">
        <v>1098.0045</v>
      </c>
      <c r="P12" s="10">
        <v>710.964</v>
      </c>
      <c r="Q12" s="10">
        <v>1340.037</v>
      </c>
      <c r="R12" s="10">
        <v>1198.935</v>
      </c>
      <c r="S12" s="10">
        <v>1330.9695</v>
      </c>
      <c r="T12" s="10">
        <v>1458.945</v>
      </c>
      <c r="U12" s="10">
        <v>1661.0265</v>
      </c>
      <c r="V12" s="10">
        <v>1602.9945</v>
      </c>
      <c r="W12" s="10">
        <v>1333.935</v>
      </c>
      <c r="X12" s="10">
        <v>1251.873</v>
      </c>
      <c r="Y12" s="10">
        <v>1489.05</v>
      </c>
      <c r="Z12" s="10">
        <v>1468.935</v>
      </c>
      <c r="AA12" s="10">
        <v>1217.9745</v>
      </c>
      <c r="AB12" s="10">
        <v>1237.95</v>
      </c>
      <c r="AC12" s="10">
        <v>1272.519</v>
      </c>
      <c r="AD12" s="10">
        <v>1249.02</v>
      </c>
      <c r="AE12" s="10">
        <v>1074.0105</v>
      </c>
      <c r="AF12" s="10">
        <v>1085.94</v>
      </c>
      <c r="AG12" s="10">
        <v>1414.9485</v>
      </c>
      <c r="AH12" s="10">
        <v>943.9965</v>
      </c>
      <c r="AI12" s="10">
        <v>1114.965</v>
      </c>
      <c r="AJ12" s="10">
        <v>1026.999</v>
      </c>
      <c r="AK12" s="10">
        <v>1266.975</v>
      </c>
      <c r="AL12" s="10">
        <v>1353.0105</v>
      </c>
    </row>
    <row r="13" ht="14.15" spans="1:174">
      <c r="A13" s="1" t="s">
        <v>86</v>
      </c>
      <c r="B13" s="2">
        <v>45</v>
      </c>
      <c r="C13" s="10">
        <v>890.01</v>
      </c>
      <c r="D13" s="10">
        <v>1491.966</v>
      </c>
      <c r="E13" s="10">
        <v>1520.9685</v>
      </c>
      <c r="F13" s="10">
        <v>1269</v>
      </c>
      <c r="G13" s="10">
        <v>1145.9925</v>
      </c>
      <c r="H13" s="10">
        <v>1202.985</v>
      </c>
      <c r="I13" s="10">
        <v>1185.0525</v>
      </c>
      <c r="J13" s="10">
        <v>1311.9975</v>
      </c>
      <c r="K13" s="10">
        <v>1104.975</v>
      </c>
      <c r="L13" s="10">
        <v>1282.005</v>
      </c>
      <c r="M13" s="10">
        <v>1124.01</v>
      </c>
      <c r="N13" s="10">
        <v>1068.012</v>
      </c>
      <c r="O13" s="10">
        <v>1028.952</v>
      </c>
      <c r="P13" s="10">
        <v>603.954</v>
      </c>
      <c r="Q13" s="10">
        <v>1347.012</v>
      </c>
      <c r="R13" s="10">
        <v>1234.98</v>
      </c>
      <c r="S13" s="10">
        <v>1317.996</v>
      </c>
      <c r="T13" s="10">
        <v>1040.985</v>
      </c>
      <c r="U13" s="10">
        <v>1442.988</v>
      </c>
      <c r="V13" s="10">
        <v>1417.041</v>
      </c>
      <c r="W13" s="10">
        <v>1185.03</v>
      </c>
      <c r="X13" s="10">
        <v>1337.9445</v>
      </c>
      <c r="Y13" s="10">
        <v>1310.04</v>
      </c>
      <c r="Z13" s="10">
        <v>1474.515</v>
      </c>
      <c r="AA13" s="10">
        <v>1282.9815</v>
      </c>
      <c r="AB13" s="10">
        <v>1032.948</v>
      </c>
      <c r="AC13" s="10">
        <v>1258.011</v>
      </c>
      <c r="AD13" s="10">
        <v>1261.035</v>
      </c>
      <c r="AE13" s="10">
        <v>1157.9895</v>
      </c>
      <c r="AF13" s="10">
        <v>1144.935</v>
      </c>
      <c r="AG13" s="10">
        <v>1224.9495</v>
      </c>
      <c r="AH13" s="10">
        <v>1205.9775</v>
      </c>
      <c r="AI13" s="10">
        <v>971.055</v>
      </c>
      <c r="AJ13" s="10">
        <v>1031.0445</v>
      </c>
      <c r="AK13" s="10">
        <v>1072.035</v>
      </c>
      <c r="AL13" s="10">
        <v>1324.2735</v>
      </c>
    </row>
    <row r="14" ht="14.15" spans="1:174">
      <c r="A14" s="1" t="s">
        <v>87</v>
      </c>
      <c r="B14" s="2">
        <v>34</v>
      </c>
      <c r="C14" s="10">
        <v>816.9554</v>
      </c>
      <c r="D14" s="10">
        <v>1160.012</v>
      </c>
      <c r="E14" s="10">
        <v>1115.9752</v>
      </c>
      <c r="F14" s="10">
        <v>1165.962</v>
      </c>
      <c r="G14" s="10">
        <v>1054</v>
      </c>
      <c r="H14" s="10">
        <v>991.032</v>
      </c>
      <c r="I14" s="10">
        <v>1271.9672</v>
      </c>
      <c r="J14" s="10">
        <v>1115.9752</v>
      </c>
      <c r="K14" s="10">
        <v>793.05</v>
      </c>
      <c r="L14" s="10">
        <v>1082.985</v>
      </c>
      <c r="M14" s="10">
        <v>1108.026</v>
      </c>
      <c r="N14" s="10">
        <v>1031.0228</v>
      </c>
      <c r="O14" s="10">
        <v>1101.0084</v>
      </c>
      <c r="P14" s="10">
        <v>741.965</v>
      </c>
      <c r="Q14" s="10">
        <v>1234.0232</v>
      </c>
      <c r="R14" s="10">
        <v>1144.95</v>
      </c>
      <c r="S14" s="10">
        <v>954.1862</v>
      </c>
      <c r="T14" s="10">
        <v>1148.01</v>
      </c>
      <c r="U14" s="10">
        <v>1185.9608</v>
      </c>
      <c r="V14" s="10">
        <v>1045.041</v>
      </c>
      <c r="W14" s="10">
        <v>944.01</v>
      </c>
      <c r="X14" s="10">
        <v>1091.944</v>
      </c>
      <c r="Y14" s="10">
        <v>1077.018</v>
      </c>
      <c r="Z14" s="10">
        <v>1041.352</v>
      </c>
      <c r="AA14" s="10">
        <v>1033.0254</v>
      </c>
      <c r="AB14" s="10">
        <v>876.0304</v>
      </c>
      <c r="AC14" s="10">
        <v>826.9684</v>
      </c>
      <c r="AD14" s="10">
        <v>925.956</v>
      </c>
      <c r="AE14" s="10">
        <v>887.0464</v>
      </c>
      <c r="AF14" s="10">
        <v>1022.958</v>
      </c>
      <c r="AG14" s="10">
        <v>1033.0254</v>
      </c>
      <c r="AH14" s="10">
        <v>779.0114</v>
      </c>
      <c r="AI14" s="10">
        <v>876.996</v>
      </c>
      <c r="AJ14" s="10">
        <v>758.0368</v>
      </c>
      <c r="AK14" s="10">
        <v>900.048</v>
      </c>
      <c r="AL14" s="10">
        <v>1078.0312</v>
      </c>
    </row>
    <row r="15" ht="14.15" spans="1:174">
      <c r="A15" s="1" t="s">
        <v>88</v>
      </c>
      <c r="B15" s="2">
        <v>53</v>
      </c>
      <c r="C15" s="10">
        <v>1171.459</v>
      </c>
      <c r="D15" s="10">
        <v>1769.5216</v>
      </c>
      <c r="E15" s="10">
        <v>1732.2149</v>
      </c>
      <c r="F15" s="10">
        <v>1379.007</v>
      </c>
      <c r="G15" s="10">
        <v>1175.2379</v>
      </c>
      <c r="H15" s="10">
        <v>1341.801</v>
      </c>
      <c r="I15" s="10">
        <v>1178.031</v>
      </c>
      <c r="J15" s="10">
        <v>1146.4854</v>
      </c>
      <c r="K15" s="10">
        <v>904.71</v>
      </c>
      <c r="L15" s="10">
        <v>1180.8241</v>
      </c>
      <c r="M15" s="10">
        <v>1487.763</v>
      </c>
      <c r="N15" s="10">
        <v>1410.5155</v>
      </c>
      <c r="O15" s="10">
        <v>1399.3431</v>
      </c>
      <c r="P15" s="10">
        <v>817.3766</v>
      </c>
      <c r="Q15" s="10">
        <v>1659.7586</v>
      </c>
      <c r="R15" s="10">
        <v>1524.015</v>
      </c>
      <c r="S15" s="10">
        <v>1325.901</v>
      </c>
      <c r="T15" s="10">
        <v>1334.964</v>
      </c>
      <c r="U15" s="10">
        <v>1333.9517</v>
      </c>
      <c r="V15" s="10">
        <v>1369.9334</v>
      </c>
      <c r="W15" s="10">
        <v>1406.037</v>
      </c>
      <c r="X15" s="10">
        <v>1426.9455</v>
      </c>
      <c r="Y15" s="10">
        <v>1707.978</v>
      </c>
      <c r="Z15" s="10">
        <v>1593.71</v>
      </c>
      <c r="AA15" s="10">
        <v>1135.9702</v>
      </c>
      <c r="AB15" s="10">
        <v>1324.0248</v>
      </c>
      <c r="AC15" s="10">
        <v>1548.0346</v>
      </c>
      <c r="AD15" s="10">
        <v>1454.055</v>
      </c>
      <c r="AE15" s="10">
        <v>1588.9453</v>
      </c>
      <c r="AF15" s="10">
        <v>1531.011</v>
      </c>
      <c r="AG15" s="10">
        <v>1133.0128</v>
      </c>
      <c r="AH15" s="10">
        <v>1075.0149</v>
      </c>
      <c r="AI15" s="10">
        <v>1357.065</v>
      </c>
      <c r="AJ15" s="10">
        <v>1512.0529</v>
      </c>
      <c r="AK15" s="10">
        <v>1652.964</v>
      </c>
      <c r="AL15" s="10">
        <v>1772.9613</v>
      </c>
    </row>
    <row r="16" ht="14.15" spans="1:174">
      <c r="A16" s="1" t="s">
        <v>89</v>
      </c>
      <c r="B16" s="2">
        <v>124</v>
      </c>
      <c r="C16" s="10">
        <v>3509.1876</v>
      </c>
      <c r="D16" s="10">
        <v>4669.1456</v>
      </c>
      <c r="E16" s="10">
        <v>5120.9768</v>
      </c>
      <c r="F16" s="10">
        <v>4844.184</v>
      </c>
      <c r="G16" s="10">
        <v>4843.8244</v>
      </c>
      <c r="H16" s="10">
        <v>4856.832</v>
      </c>
      <c r="I16" s="10">
        <v>5084.0744</v>
      </c>
      <c r="J16" s="10">
        <v>5117.1328</v>
      </c>
      <c r="K16" s="10">
        <v>4530.96</v>
      </c>
      <c r="L16" s="10">
        <v>4608.5716</v>
      </c>
      <c r="M16" s="10">
        <v>4767.924</v>
      </c>
      <c r="N16" s="10">
        <v>4690.8332</v>
      </c>
      <c r="O16" s="10">
        <v>5041.406</v>
      </c>
      <c r="P16" s="10">
        <v>3456.4752</v>
      </c>
      <c r="Q16" s="10">
        <v>5179.4056</v>
      </c>
      <c r="R16" s="10">
        <v>4771.272</v>
      </c>
      <c r="S16" s="10">
        <v>4681.6076</v>
      </c>
      <c r="T16" s="10">
        <v>4353.888</v>
      </c>
      <c r="U16" s="10">
        <v>4766.1756</v>
      </c>
      <c r="V16" s="10">
        <v>4259.9208</v>
      </c>
      <c r="W16" s="10">
        <v>4193.928</v>
      </c>
      <c r="X16" s="10">
        <v>4586.6608</v>
      </c>
      <c r="Y16" s="10">
        <v>4658.184</v>
      </c>
      <c r="Z16" s="10">
        <v>4870.348</v>
      </c>
      <c r="AA16" s="10">
        <v>3850.1504</v>
      </c>
      <c r="AB16" s="10">
        <v>3969.8848</v>
      </c>
      <c r="AC16" s="10">
        <v>3847.844</v>
      </c>
      <c r="AD16" s="10">
        <v>3269.88</v>
      </c>
      <c r="AE16" s="10">
        <v>3569.9228</v>
      </c>
      <c r="AF16" s="10">
        <v>3502.008</v>
      </c>
      <c r="AG16" s="10">
        <v>3631.8112</v>
      </c>
      <c r="AH16" s="10">
        <v>3840.9248</v>
      </c>
      <c r="AI16" s="10">
        <v>3375.156</v>
      </c>
      <c r="AJ16" s="10">
        <v>3729.8332</v>
      </c>
      <c r="AK16" s="10">
        <v>3852.06</v>
      </c>
      <c r="AL16" s="10">
        <v>4522.8504</v>
      </c>
    </row>
    <row r="17" ht="14.15" spans="1:38">
      <c r="A17" s="1" t="s">
        <v>90</v>
      </c>
      <c r="B17" s="2">
        <v>41</v>
      </c>
      <c r="C17" s="10">
        <v>781.0295</v>
      </c>
      <c r="D17" s="10">
        <v>1443.9544</v>
      </c>
      <c r="E17" s="10">
        <v>1342.9386</v>
      </c>
      <c r="F17" s="10">
        <v>976.989</v>
      </c>
      <c r="G17" s="10">
        <v>928.9739</v>
      </c>
      <c r="H17" s="10">
        <v>950.052</v>
      </c>
      <c r="I17" s="10">
        <v>1930.0135</v>
      </c>
      <c r="J17" s="10">
        <v>1274.0504</v>
      </c>
      <c r="K17" s="10">
        <v>714.015</v>
      </c>
      <c r="L17" s="10">
        <v>803.0178</v>
      </c>
      <c r="M17" s="10">
        <v>882.033</v>
      </c>
      <c r="N17" s="10">
        <v>924.017</v>
      </c>
      <c r="O17" s="10">
        <v>1496.9838</v>
      </c>
      <c r="P17" s="10">
        <v>796.0355</v>
      </c>
      <c r="Q17" s="10">
        <v>1004.9797</v>
      </c>
      <c r="R17" s="10">
        <v>760.017</v>
      </c>
      <c r="S17" s="10">
        <v>804.0346</v>
      </c>
      <c r="T17" s="10">
        <v>813.03</v>
      </c>
      <c r="U17" s="10">
        <v>1411.9539</v>
      </c>
      <c r="V17" s="10">
        <v>1344.9722</v>
      </c>
      <c r="W17" s="10">
        <v>952.02</v>
      </c>
      <c r="X17" s="10">
        <v>959.9863</v>
      </c>
      <c r="Y17" s="10">
        <v>1012.044</v>
      </c>
      <c r="Z17" s="10">
        <v>902.41</v>
      </c>
      <c r="AA17" s="10">
        <v>1105.0074</v>
      </c>
      <c r="AB17" s="10">
        <v>880.9752</v>
      </c>
      <c r="AC17" s="10">
        <v>765.0149</v>
      </c>
      <c r="AD17" s="10">
        <v>696.057</v>
      </c>
      <c r="AE17" s="10">
        <v>691.0427</v>
      </c>
      <c r="AF17" s="10">
        <v>971.946</v>
      </c>
      <c r="AG17" s="10">
        <v>1443.9831</v>
      </c>
      <c r="AH17" s="10">
        <v>913.9761</v>
      </c>
      <c r="AI17" s="10">
        <v>658.05</v>
      </c>
      <c r="AJ17" s="10">
        <v>533.9471</v>
      </c>
      <c r="AK17" s="10">
        <v>702.945</v>
      </c>
      <c r="AL17" s="10">
        <v>681.0018</v>
      </c>
    </row>
    <row r="18" ht="14.15" spans="1:38">
      <c r="A18" s="1" t="s">
        <v>91</v>
      </c>
      <c r="B18" s="2">
        <v>82</v>
      </c>
      <c r="C18" s="10">
        <v>2420.2382</v>
      </c>
      <c r="D18" s="10">
        <v>2993.2952</v>
      </c>
      <c r="E18" s="10">
        <v>3323.665</v>
      </c>
      <c r="F18" s="10">
        <v>3046.71</v>
      </c>
      <c r="G18" s="10">
        <v>3137.0822</v>
      </c>
      <c r="H18" s="10">
        <v>2888.532</v>
      </c>
      <c r="I18" s="10">
        <v>3066.923</v>
      </c>
      <c r="J18" s="10">
        <v>2977.6988</v>
      </c>
      <c r="K18" s="10">
        <v>2449.668</v>
      </c>
      <c r="L18" s="10">
        <v>2391.7678</v>
      </c>
      <c r="M18" s="10">
        <v>2889.27</v>
      </c>
      <c r="N18" s="10">
        <v>2870.6806</v>
      </c>
      <c r="O18" s="10">
        <v>3295.9572</v>
      </c>
      <c r="P18" s="10">
        <v>2101.9142</v>
      </c>
      <c r="Q18" s="10">
        <v>3402.9754</v>
      </c>
      <c r="R18" s="10">
        <v>3126.906</v>
      </c>
      <c r="S18" s="10">
        <v>3089.0384</v>
      </c>
      <c r="T18" s="10">
        <v>3031.95</v>
      </c>
      <c r="U18" s="10">
        <v>3385.944</v>
      </c>
      <c r="V18" s="10">
        <v>3403.9922</v>
      </c>
      <c r="W18" s="10">
        <v>2986.932</v>
      </c>
      <c r="X18" s="10">
        <v>2716.8896</v>
      </c>
      <c r="Y18" s="10">
        <v>3147.078</v>
      </c>
      <c r="Z18" s="10">
        <v>3174.958</v>
      </c>
      <c r="AA18" s="10">
        <v>2821.1116</v>
      </c>
      <c r="AB18" s="10">
        <v>2554.9888</v>
      </c>
      <c r="AC18" s="10">
        <v>2725.024</v>
      </c>
      <c r="AD18" s="10">
        <v>2753.97</v>
      </c>
      <c r="AE18" s="10">
        <v>2625.1234</v>
      </c>
      <c r="AF18" s="10">
        <v>2693.946</v>
      </c>
      <c r="AG18" s="10">
        <v>3108.1034</v>
      </c>
      <c r="AH18" s="10">
        <v>3008.9654</v>
      </c>
      <c r="AI18" s="10">
        <v>2967.99</v>
      </c>
      <c r="AJ18" s="10">
        <v>2484.0424</v>
      </c>
      <c r="AK18" s="10">
        <v>2967.99</v>
      </c>
      <c r="AL18" s="10">
        <v>3104.0362</v>
      </c>
    </row>
    <row r="19" ht="14.15" spans="1:38">
      <c r="A19" s="1" t="s">
        <v>92</v>
      </c>
      <c r="B19" s="2">
        <v>69</v>
      </c>
      <c r="C19" s="10">
        <v>1473.5571</v>
      </c>
      <c r="D19" s="10">
        <v>2082.5028</v>
      </c>
      <c r="E19" s="10">
        <v>2457.2832</v>
      </c>
      <c r="F19" s="10">
        <v>2056.131</v>
      </c>
      <c r="G19" s="10">
        <v>1873.9779</v>
      </c>
      <c r="H19" s="10">
        <v>1879.56</v>
      </c>
      <c r="I19" s="10">
        <v>1926.3834</v>
      </c>
      <c r="J19" s="10">
        <v>1798.6851</v>
      </c>
      <c r="K19" s="10">
        <v>1216.332</v>
      </c>
      <c r="L19" s="10">
        <v>1334.0943</v>
      </c>
      <c r="M19" s="10">
        <v>1850.166</v>
      </c>
      <c r="N19" s="10">
        <v>1764.0333</v>
      </c>
      <c r="O19" s="10">
        <v>1900.2876</v>
      </c>
      <c r="P19" s="10">
        <v>1104.9522</v>
      </c>
      <c r="Q19" s="10">
        <v>2118.8934</v>
      </c>
      <c r="R19" s="10">
        <v>1456.659</v>
      </c>
      <c r="S19" s="10">
        <v>1809.3801</v>
      </c>
      <c r="T19" s="10">
        <v>1728.036</v>
      </c>
      <c r="U19" s="10">
        <v>1928.0946</v>
      </c>
      <c r="V19" s="10">
        <v>2193.9723</v>
      </c>
      <c r="W19" s="10">
        <v>1699.056</v>
      </c>
      <c r="X19" s="10">
        <v>1903.9239</v>
      </c>
      <c r="Y19" s="10">
        <v>2002.932</v>
      </c>
      <c r="Z19" s="10">
        <v>2160.39</v>
      </c>
      <c r="AA19" s="10">
        <v>1670.9868</v>
      </c>
      <c r="AB19" s="10">
        <v>1749.0396</v>
      </c>
      <c r="AC19" s="10">
        <v>2140.0695</v>
      </c>
      <c r="AD19" s="10">
        <v>1871.901</v>
      </c>
      <c r="AE19" s="10">
        <v>1645.9605</v>
      </c>
      <c r="AF19" s="10">
        <v>1826.982</v>
      </c>
      <c r="AG19" s="10">
        <v>1759.9692</v>
      </c>
      <c r="AH19" s="10">
        <v>1792.0542</v>
      </c>
      <c r="AI19" s="10">
        <v>1428.921</v>
      </c>
      <c r="AJ19" s="10">
        <v>1746.0657</v>
      </c>
      <c r="AK19" s="10">
        <v>1812.078</v>
      </c>
      <c r="AL19" s="10">
        <v>1922.961</v>
      </c>
    </row>
    <row r="20" ht="14.15" spans="1:38">
      <c r="A20" s="1" t="s">
        <v>93</v>
      </c>
      <c r="B20" s="2">
        <v>38</v>
      </c>
      <c r="C20" s="10">
        <v>511.7232</v>
      </c>
      <c r="D20" s="10">
        <v>705.5384</v>
      </c>
      <c r="E20" s="10">
        <v>725.7658</v>
      </c>
      <c r="F20" s="10">
        <v>654.816</v>
      </c>
      <c r="G20" s="10">
        <v>543.4114</v>
      </c>
      <c r="H20" s="10">
        <v>410.4</v>
      </c>
      <c r="I20" s="10">
        <v>453.4122</v>
      </c>
      <c r="J20" s="10">
        <v>535.7544</v>
      </c>
      <c r="K20" s="10">
        <v>271.092</v>
      </c>
      <c r="L20" s="10">
        <v>383.7924</v>
      </c>
      <c r="M20" s="10">
        <v>537.054</v>
      </c>
      <c r="N20" s="10">
        <v>458.4776</v>
      </c>
      <c r="O20" s="10">
        <v>594.0654</v>
      </c>
      <c r="P20" s="10">
        <v>282.4426</v>
      </c>
      <c r="Q20" s="10">
        <v>673.816</v>
      </c>
      <c r="R20" s="10">
        <v>682.746</v>
      </c>
      <c r="S20" s="10">
        <v>416.7764</v>
      </c>
      <c r="T20" s="10">
        <v>245.784</v>
      </c>
      <c r="U20" s="10">
        <v>362.235</v>
      </c>
      <c r="V20" s="10">
        <v>407.8236</v>
      </c>
      <c r="W20" s="10">
        <v>266.076</v>
      </c>
      <c r="X20" s="10">
        <v>337.9682</v>
      </c>
      <c r="Y20" s="10">
        <v>389.994</v>
      </c>
      <c r="Z20" s="10">
        <v>318.06</v>
      </c>
      <c r="AA20" s="10">
        <v>261.0448</v>
      </c>
      <c r="AB20" s="10">
        <v>368.0376</v>
      </c>
      <c r="AC20" s="10">
        <v>409.0016</v>
      </c>
      <c r="AD20" s="10">
        <v>413.022</v>
      </c>
      <c r="AE20" s="10">
        <v>466.9592</v>
      </c>
      <c r="AF20" s="10">
        <v>393.984</v>
      </c>
      <c r="AG20" s="10">
        <v>347.9812</v>
      </c>
      <c r="AH20" s="10">
        <v>411.0042</v>
      </c>
      <c r="AI20" s="10">
        <v>376.998</v>
      </c>
      <c r="AJ20" s="10">
        <v>462.0116</v>
      </c>
      <c r="AK20" s="10">
        <v>581.97</v>
      </c>
      <c r="AL20" s="10">
        <v>415.9518</v>
      </c>
    </row>
    <row r="21" ht="14.15" spans="1:38">
      <c r="A21" s="1" t="s">
        <v>94</v>
      </c>
      <c r="B21" s="2">
        <v>76</v>
      </c>
      <c r="C21" s="10">
        <v>1717.9952</v>
      </c>
      <c r="D21" s="10">
        <v>2823.0048</v>
      </c>
      <c r="E21" s="10">
        <v>2966.9108</v>
      </c>
      <c r="F21" s="10">
        <v>2495.004</v>
      </c>
      <c r="G21" s="10">
        <v>2572.0452</v>
      </c>
      <c r="H21" s="10">
        <v>2310.096</v>
      </c>
      <c r="I21" s="10">
        <v>2908.0108</v>
      </c>
      <c r="J21" s="10">
        <v>2114.9812</v>
      </c>
      <c r="K21" s="10">
        <v>2256.972</v>
      </c>
      <c r="L21" s="10">
        <v>2143.96</v>
      </c>
      <c r="M21" s="10">
        <v>2777.952</v>
      </c>
      <c r="N21" s="10">
        <v>2707.9864</v>
      </c>
      <c r="O21" s="10">
        <v>2703.9812</v>
      </c>
      <c r="P21" s="10">
        <v>1494.9732</v>
      </c>
      <c r="Q21" s="10">
        <v>2838.98</v>
      </c>
      <c r="R21" s="10">
        <v>2453.964</v>
      </c>
      <c r="S21" s="10">
        <v>2441.994</v>
      </c>
      <c r="T21" s="10">
        <v>2277.948</v>
      </c>
      <c r="U21" s="10">
        <v>2424.0884</v>
      </c>
      <c r="V21" s="10">
        <v>2486.9936</v>
      </c>
      <c r="W21" s="10">
        <v>2179.908</v>
      </c>
      <c r="X21" s="10">
        <v>2506.784</v>
      </c>
      <c r="Y21" s="10">
        <v>2964</v>
      </c>
      <c r="Z21" s="10">
        <v>3015.68</v>
      </c>
      <c r="AA21" s="10">
        <v>2132.8868</v>
      </c>
      <c r="AB21" s="10">
        <v>2409.96</v>
      </c>
      <c r="AC21" s="10">
        <v>2523.0404</v>
      </c>
      <c r="AD21" s="10">
        <v>2129.064</v>
      </c>
      <c r="AE21" s="10">
        <v>2266.9432</v>
      </c>
      <c r="AF21" s="10">
        <v>2412.924</v>
      </c>
      <c r="AG21" s="10">
        <v>2519.0352</v>
      </c>
      <c r="AH21" s="10">
        <v>2230.8964</v>
      </c>
      <c r="AI21" s="10">
        <v>2218.896</v>
      </c>
      <c r="AJ21" s="10">
        <v>2123.934</v>
      </c>
      <c r="AK21" s="10">
        <v>2666.004</v>
      </c>
      <c r="AL21" s="10">
        <v>2711.9916</v>
      </c>
    </row>
    <row r="22" ht="14.15" spans="1:38">
      <c r="A22" s="1" t="s">
        <v>95</v>
      </c>
      <c r="B22" s="2">
        <v>56</v>
      </c>
      <c r="C22" s="10">
        <v>1673.8512</v>
      </c>
      <c r="D22" s="10">
        <v>2561.328</v>
      </c>
      <c r="E22" s="10">
        <v>2894.9536</v>
      </c>
      <c r="F22" s="10">
        <v>2788.968</v>
      </c>
      <c r="G22" s="10">
        <v>2873.08</v>
      </c>
      <c r="H22" s="10">
        <v>2591.232</v>
      </c>
      <c r="I22" s="10">
        <v>2280.9304</v>
      </c>
      <c r="J22" s="10">
        <v>2283.0136</v>
      </c>
      <c r="K22" s="10">
        <v>2155.944</v>
      </c>
      <c r="L22" s="10">
        <v>2122.9544</v>
      </c>
      <c r="M22" s="10">
        <v>2119.992</v>
      </c>
      <c r="N22" s="10">
        <v>2188.0544</v>
      </c>
      <c r="O22" s="10">
        <v>2200.0328</v>
      </c>
      <c r="P22" s="10">
        <v>1245.9328</v>
      </c>
      <c r="Q22" s="10">
        <v>2193.9568</v>
      </c>
      <c r="R22" s="10">
        <v>2110.08</v>
      </c>
      <c r="S22" s="10">
        <v>2184.9296</v>
      </c>
      <c r="T22" s="10">
        <v>2088.072</v>
      </c>
      <c r="U22" s="10">
        <v>2163.056</v>
      </c>
      <c r="V22" s="10">
        <v>2172.0832</v>
      </c>
      <c r="W22" s="10">
        <v>2107.056</v>
      </c>
      <c r="X22" s="10">
        <v>2174.8608</v>
      </c>
      <c r="Y22" s="10">
        <v>2396.016</v>
      </c>
      <c r="Z22" s="10">
        <v>2451.232</v>
      </c>
      <c r="AA22" s="10">
        <v>1925.0504</v>
      </c>
      <c r="AB22" s="10">
        <v>1814.96</v>
      </c>
      <c r="AC22" s="10">
        <v>2368.9456</v>
      </c>
      <c r="AD22" s="10">
        <v>2254.056</v>
      </c>
      <c r="AE22" s="10">
        <v>2100.0392</v>
      </c>
      <c r="AF22" s="10">
        <v>2339.064</v>
      </c>
      <c r="AG22" s="10">
        <v>2401.9296</v>
      </c>
      <c r="AH22" s="10">
        <v>2364.0848</v>
      </c>
      <c r="AI22" s="10">
        <v>2347.968</v>
      </c>
      <c r="AJ22" s="10">
        <v>2201.9424</v>
      </c>
      <c r="AK22" s="10">
        <v>2339.064</v>
      </c>
      <c r="AL22" s="10">
        <v>2380.924</v>
      </c>
    </row>
    <row r="23" ht="14.15" spans="1:38">
      <c r="A23" s="1" t="s">
        <v>96</v>
      </c>
      <c r="B23" s="2">
        <v>40</v>
      </c>
      <c r="C23" s="10">
        <v>810.96</v>
      </c>
      <c r="D23" s="10">
        <v>1243.984</v>
      </c>
      <c r="E23" s="10">
        <v>1255.996</v>
      </c>
      <c r="F23" s="10">
        <v>1001.04</v>
      </c>
      <c r="G23" s="10">
        <v>1166.964</v>
      </c>
      <c r="H23" s="10">
        <v>1014.96</v>
      </c>
      <c r="I23" s="10">
        <v>1051.024</v>
      </c>
      <c r="J23" s="10">
        <v>881.02</v>
      </c>
      <c r="K23" s="10">
        <v>891</v>
      </c>
      <c r="L23" s="10">
        <v>1093.06</v>
      </c>
      <c r="M23" s="10">
        <v>1025.04</v>
      </c>
      <c r="N23" s="10">
        <v>1025.976</v>
      </c>
      <c r="O23" s="10">
        <v>1211.976</v>
      </c>
      <c r="P23" s="10">
        <v>707.948</v>
      </c>
      <c r="Q23" s="10">
        <v>1453.032</v>
      </c>
      <c r="R23" s="10">
        <v>1307.04</v>
      </c>
      <c r="S23" s="10">
        <v>1199.948</v>
      </c>
      <c r="T23" s="10">
        <v>887.04</v>
      </c>
      <c r="U23" s="10">
        <v>1275.96</v>
      </c>
      <c r="V23" s="10">
        <v>1057.968</v>
      </c>
      <c r="W23" s="10">
        <v>1250.04</v>
      </c>
      <c r="X23" s="10">
        <v>1321.964</v>
      </c>
      <c r="Y23" s="10">
        <v>1406.04</v>
      </c>
      <c r="Z23" s="10">
        <v>1213.96</v>
      </c>
      <c r="AA23" s="10">
        <v>883.004</v>
      </c>
      <c r="AB23" s="10">
        <v>987.952</v>
      </c>
      <c r="AC23" s="10">
        <v>981.956</v>
      </c>
      <c r="AD23" s="10">
        <v>810.96</v>
      </c>
      <c r="AE23" s="10">
        <v>1138.94</v>
      </c>
      <c r="AF23" s="10">
        <v>999.96</v>
      </c>
      <c r="AG23" s="10">
        <v>1171.056</v>
      </c>
      <c r="AH23" s="10">
        <v>912.02</v>
      </c>
      <c r="AI23" s="10">
        <v>963</v>
      </c>
      <c r="AJ23" s="10">
        <v>1072.972</v>
      </c>
      <c r="AK23" s="10">
        <v>984</v>
      </c>
      <c r="AL23" s="10">
        <v>1158.036</v>
      </c>
    </row>
    <row r="24" ht="14.15" spans="1:38">
      <c r="A24" s="1" t="s">
        <v>97</v>
      </c>
      <c r="B24" s="2">
        <v>25</v>
      </c>
      <c r="C24" s="10">
        <v>0</v>
      </c>
      <c r="D24" s="10">
        <v>90.02</v>
      </c>
      <c r="E24" s="10">
        <v>59.985</v>
      </c>
      <c r="F24" s="10">
        <v>71.25</v>
      </c>
      <c r="G24" s="10">
        <v>114.39</v>
      </c>
      <c r="H24" s="10">
        <v>207.525</v>
      </c>
      <c r="I24" s="10">
        <v>536.2225</v>
      </c>
      <c r="J24" s="10">
        <v>541.26</v>
      </c>
      <c r="K24" s="10">
        <v>585</v>
      </c>
      <c r="L24" s="10">
        <v>735.01</v>
      </c>
      <c r="M24" s="10">
        <v>1036.275</v>
      </c>
      <c r="N24" s="10">
        <v>741.2875</v>
      </c>
      <c r="O24" s="10">
        <v>1018.7375</v>
      </c>
      <c r="P24" s="10">
        <v>757.48</v>
      </c>
      <c r="Q24" s="10">
        <v>1162.5</v>
      </c>
      <c r="R24" s="10">
        <v>743.025</v>
      </c>
      <c r="S24" s="10">
        <v>697.965</v>
      </c>
      <c r="T24" s="10">
        <v>750</v>
      </c>
      <c r="U24" s="10">
        <v>873.9675</v>
      </c>
      <c r="V24" s="10">
        <v>934.03</v>
      </c>
      <c r="W24" s="10">
        <v>755.025</v>
      </c>
      <c r="X24" s="10">
        <v>769.9625</v>
      </c>
      <c r="Y24" s="10">
        <v>942.975</v>
      </c>
      <c r="Z24" s="10">
        <v>1011.375</v>
      </c>
      <c r="AA24" s="10">
        <v>648.985</v>
      </c>
      <c r="AB24" s="10">
        <v>702.03</v>
      </c>
      <c r="AC24" s="10">
        <v>790.035</v>
      </c>
      <c r="AD24" s="10">
        <v>669</v>
      </c>
      <c r="AE24" s="10">
        <v>631.005</v>
      </c>
      <c r="AF24" s="10">
        <v>659.025</v>
      </c>
      <c r="AG24" s="10">
        <v>943.02</v>
      </c>
      <c r="AH24" s="10">
        <v>632.0125</v>
      </c>
      <c r="AI24" s="10">
        <v>618</v>
      </c>
      <c r="AJ24" s="10">
        <v>586.985</v>
      </c>
      <c r="AK24" s="10">
        <v>720.975</v>
      </c>
      <c r="AL24" s="10">
        <v>716.0225</v>
      </c>
    </row>
    <row r="25" ht="14.15" spans="1:38">
      <c r="A25" s="1" t="s">
        <v>98</v>
      </c>
      <c r="B25" s="2">
        <v>22</v>
      </c>
      <c r="C25" s="10">
        <v>173.0234</v>
      </c>
      <c r="D25" s="10">
        <v>281.0192</v>
      </c>
      <c r="E25" s="10">
        <v>351.0254</v>
      </c>
      <c r="F25" s="10">
        <v>607.992</v>
      </c>
      <c r="G25" s="10">
        <v>516.0012</v>
      </c>
      <c r="H25" s="10">
        <v>587.004</v>
      </c>
      <c r="I25" s="10">
        <v>651.992</v>
      </c>
      <c r="J25" s="10">
        <v>683.023</v>
      </c>
      <c r="K25" s="10">
        <v>681.978</v>
      </c>
      <c r="L25" s="10">
        <v>650.0142</v>
      </c>
      <c r="M25" s="10">
        <v>700.986</v>
      </c>
      <c r="N25" s="10">
        <v>707.0294</v>
      </c>
      <c r="O25" s="10">
        <v>793.9844</v>
      </c>
      <c r="P25" s="10">
        <v>580.0058</v>
      </c>
      <c r="Q25" s="10">
        <v>688.0016</v>
      </c>
      <c r="R25" s="10">
        <v>665.016</v>
      </c>
      <c r="S25" s="10">
        <v>686.9786</v>
      </c>
      <c r="T25" s="10">
        <v>677.028</v>
      </c>
      <c r="U25" s="10">
        <v>0</v>
      </c>
      <c r="V25" s="10">
        <v>629.0086</v>
      </c>
      <c r="W25" s="10">
        <v>666.996</v>
      </c>
      <c r="X25" s="10">
        <v>694.958</v>
      </c>
      <c r="Y25" s="10">
        <v>664.026</v>
      </c>
      <c r="Z25" s="10">
        <v>669.724</v>
      </c>
      <c r="AA25" s="10">
        <v>565.9918</v>
      </c>
      <c r="AB25" s="10">
        <v>473.0264</v>
      </c>
      <c r="AC25" s="10">
        <v>600.0236</v>
      </c>
      <c r="AD25" s="10">
        <v>659.01</v>
      </c>
      <c r="AE25" s="10">
        <v>668.019</v>
      </c>
      <c r="AF25" s="10">
        <v>686.004</v>
      </c>
      <c r="AG25" s="10">
        <v>701.9826</v>
      </c>
      <c r="AH25" s="10">
        <v>698.9818</v>
      </c>
      <c r="AI25" s="10">
        <v>641.982</v>
      </c>
      <c r="AJ25" s="10">
        <v>695.0262</v>
      </c>
      <c r="AK25" s="10">
        <v>654.984</v>
      </c>
      <c r="AL25" s="10">
        <v>760.9756</v>
      </c>
    </row>
    <row r="26" ht="14.15" spans="1:38">
      <c r="A26" s="1" t="s">
        <v>99</v>
      </c>
      <c r="B26" s="2">
        <v>84</v>
      </c>
      <c r="C26" s="10">
        <v>2448.8016</v>
      </c>
      <c r="D26" s="10">
        <v>4273.1136</v>
      </c>
      <c r="E26" s="10">
        <v>3147.9756</v>
      </c>
      <c r="F26" s="10">
        <v>2868.012</v>
      </c>
      <c r="G26" s="10">
        <v>3055.0128</v>
      </c>
      <c r="H26" s="10">
        <v>2963.016</v>
      </c>
      <c r="I26" s="10">
        <v>3290.9352</v>
      </c>
      <c r="J26" s="10">
        <v>3121.9356</v>
      </c>
      <c r="K26" s="10">
        <v>2947.896</v>
      </c>
      <c r="L26" s="10">
        <v>2999.0268</v>
      </c>
      <c r="M26" s="10">
        <v>3287.088</v>
      </c>
      <c r="N26" s="10">
        <v>3222.9708</v>
      </c>
      <c r="O26" s="10">
        <v>3278.9568</v>
      </c>
      <c r="P26" s="10">
        <v>2290.0836</v>
      </c>
      <c r="Q26" s="10">
        <v>3531.024</v>
      </c>
      <c r="R26" s="10">
        <v>3067.092</v>
      </c>
      <c r="S26" s="10">
        <v>3001.11</v>
      </c>
      <c r="T26" s="10">
        <v>2815.092</v>
      </c>
      <c r="U26" s="10">
        <v>3226.8768</v>
      </c>
      <c r="V26" s="10">
        <v>3337.026</v>
      </c>
      <c r="W26" s="10">
        <v>3073.896</v>
      </c>
      <c r="X26" s="10">
        <v>3016.9944</v>
      </c>
      <c r="Y26" s="10">
        <v>3185.028</v>
      </c>
      <c r="Z26" s="10">
        <v>3239.376</v>
      </c>
      <c r="AA26" s="10">
        <v>2464.9464</v>
      </c>
      <c r="AB26" s="10">
        <v>2757.9552</v>
      </c>
      <c r="AC26" s="10">
        <v>3239.1156</v>
      </c>
      <c r="AD26" s="10">
        <v>2943.108</v>
      </c>
      <c r="AE26" s="10">
        <v>2988.09</v>
      </c>
      <c r="AF26" s="10">
        <v>3001.068</v>
      </c>
      <c r="AG26" s="10">
        <v>3027.9312</v>
      </c>
      <c r="AH26" s="10">
        <v>2964.9144</v>
      </c>
      <c r="AI26" s="10">
        <v>2787.12</v>
      </c>
      <c r="AJ26" s="10">
        <v>2807.8932</v>
      </c>
      <c r="AK26" s="10">
        <v>2947.896</v>
      </c>
      <c r="AL26" s="10">
        <v>3596.6448</v>
      </c>
    </row>
    <row r="27" ht="14.15" spans="1:38">
      <c r="A27" s="1" t="s">
        <v>100</v>
      </c>
      <c r="B27" s="2">
        <v>83</v>
      </c>
      <c r="C27" s="10">
        <v>1663.4445</v>
      </c>
      <c r="D27" s="10">
        <v>2247.0756</v>
      </c>
      <c r="E27" s="10">
        <v>2678.2357</v>
      </c>
      <c r="F27" s="10">
        <v>2412.312</v>
      </c>
      <c r="G27" s="10">
        <v>2477.2844</v>
      </c>
      <c r="H27" s="10">
        <v>2813.949</v>
      </c>
      <c r="I27" s="10">
        <v>2885.8768</v>
      </c>
      <c r="J27" s="10">
        <v>2685.9547</v>
      </c>
      <c r="K27" s="10">
        <v>2227.056</v>
      </c>
      <c r="L27" s="10">
        <v>2727.8946</v>
      </c>
      <c r="M27" s="10">
        <v>3193.923</v>
      </c>
      <c r="N27" s="10">
        <v>2930.9043</v>
      </c>
      <c r="O27" s="10">
        <v>2843.9369</v>
      </c>
      <c r="P27" s="10">
        <v>1898.8823</v>
      </c>
      <c r="Q27" s="10">
        <v>2157.9751</v>
      </c>
      <c r="R27" s="10">
        <v>1936.971</v>
      </c>
      <c r="S27" s="10">
        <v>1789.0069</v>
      </c>
      <c r="T27" s="10">
        <v>1758.936</v>
      </c>
      <c r="U27" s="10">
        <v>2128.9002</v>
      </c>
      <c r="V27" s="10">
        <v>1899.9032</v>
      </c>
      <c r="W27" s="10">
        <v>1737.024</v>
      </c>
      <c r="X27" s="10">
        <v>1834.8063</v>
      </c>
      <c r="Y27" s="10">
        <v>2259.924</v>
      </c>
      <c r="Z27" s="10">
        <v>2562.708</v>
      </c>
      <c r="AA27" s="10">
        <v>2115.006</v>
      </c>
      <c r="AB27" s="10">
        <v>1762.0568</v>
      </c>
      <c r="AC27" s="10">
        <v>1898.874</v>
      </c>
      <c r="AD27" s="10">
        <v>1956.891</v>
      </c>
      <c r="AE27" s="10">
        <v>1842.0107</v>
      </c>
      <c r="AF27" s="10">
        <v>1945.935</v>
      </c>
      <c r="AG27" s="10">
        <v>2151.028</v>
      </c>
      <c r="AH27" s="10">
        <v>1893.9853</v>
      </c>
      <c r="AI27" s="10">
        <v>1513.92</v>
      </c>
      <c r="AJ27" s="10">
        <v>1412.0624</v>
      </c>
      <c r="AK27" s="10">
        <v>2116.002</v>
      </c>
      <c r="AL27" s="10">
        <v>1951.1059</v>
      </c>
    </row>
    <row r="28" ht="15.4" spans="1:38">
      <c r="A28" s="1" t="s">
        <v>101</v>
      </c>
      <c r="B28" s="11">
        <v>40</v>
      </c>
      <c r="C28" s="10">
        <v>529.604</v>
      </c>
      <c r="D28" s="10">
        <v>967.904</v>
      </c>
      <c r="E28" s="10">
        <v>847.664</v>
      </c>
      <c r="F28" s="10">
        <v>688.56</v>
      </c>
      <c r="G28" s="10">
        <v>614.42</v>
      </c>
      <c r="H28" s="10">
        <v>443.4</v>
      </c>
      <c r="I28" s="10">
        <v>559.116</v>
      </c>
      <c r="J28" s="10">
        <v>430.652</v>
      </c>
      <c r="K28" s="10">
        <v>303.84</v>
      </c>
      <c r="L28" s="10">
        <v>435.736</v>
      </c>
      <c r="M28" s="10">
        <v>475.68</v>
      </c>
      <c r="N28" s="10">
        <v>528.984</v>
      </c>
      <c r="O28" s="10">
        <v>628.06</v>
      </c>
      <c r="P28" s="10">
        <v>351.016</v>
      </c>
      <c r="Q28" s="10">
        <v>604.996</v>
      </c>
      <c r="R28" s="10">
        <v>492.96</v>
      </c>
      <c r="S28" s="10">
        <v>496.992</v>
      </c>
      <c r="T28" s="10">
        <v>407.04</v>
      </c>
      <c r="U28" s="10">
        <v>621.984</v>
      </c>
      <c r="V28" s="10">
        <v>498.976</v>
      </c>
      <c r="W28" s="10">
        <v>521.04</v>
      </c>
      <c r="X28" s="10">
        <v>558.992</v>
      </c>
      <c r="Y28" s="10">
        <v>561</v>
      </c>
      <c r="Z28" s="10">
        <v>782.44</v>
      </c>
      <c r="AA28" s="10">
        <v>366.048</v>
      </c>
      <c r="AB28" s="10">
        <v>415.968</v>
      </c>
      <c r="AC28" s="10">
        <v>417.012</v>
      </c>
      <c r="AD28" s="10">
        <v>393</v>
      </c>
      <c r="AE28" s="10">
        <v>387.996</v>
      </c>
      <c r="AF28" s="10">
        <v>389.04</v>
      </c>
      <c r="AG28" s="10">
        <v>376.96</v>
      </c>
      <c r="AH28" s="10">
        <v>380.06</v>
      </c>
      <c r="AI28" s="10">
        <v>468</v>
      </c>
      <c r="AJ28" s="10">
        <v>363.94</v>
      </c>
      <c r="AK28" s="10">
        <v>384</v>
      </c>
      <c r="AL28" s="10">
        <v>510.012</v>
      </c>
    </row>
    <row r="29" ht="14.15" spans="1:38">
      <c r="A29" s="1" t="s">
        <v>102</v>
      </c>
      <c r="B29" s="2">
        <v>130</v>
      </c>
      <c r="C29" s="10">
        <v>3224.806</v>
      </c>
      <c r="D29" s="10">
        <v>4541.628</v>
      </c>
      <c r="E29" s="10">
        <v>4229.082</v>
      </c>
      <c r="F29" s="10">
        <v>3779.1</v>
      </c>
      <c r="G29" s="10">
        <v>3805.126</v>
      </c>
      <c r="H29" s="10">
        <v>3692.91</v>
      </c>
      <c r="I29" s="10">
        <v>4302.025</v>
      </c>
      <c r="J29" s="10">
        <v>4214.977</v>
      </c>
      <c r="K29" s="10">
        <v>3579.81</v>
      </c>
      <c r="L29" s="10">
        <v>3419.858</v>
      </c>
      <c r="M29" s="10">
        <v>3939</v>
      </c>
      <c r="N29" s="10">
        <v>3921.19</v>
      </c>
      <c r="O29" s="10">
        <v>4146.064</v>
      </c>
      <c r="P29" s="10">
        <v>2540.98</v>
      </c>
      <c r="Q29" s="10">
        <v>4084.808</v>
      </c>
      <c r="R29" s="10">
        <v>3664.05</v>
      </c>
      <c r="S29" s="10">
        <v>3633.851</v>
      </c>
      <c r="T29" s="10">
        <v>3673.02</v>
      </c>
      <c r="U29" s="10">
        <v>4123.899</v>
      </c>
      <c r="V29" s="10">
        <v>4169.841</v>
      </c>
      <c r="W29" s="10">
        <v>3327.09</v>
      </c>
      <c r="X29" s="10">
        <v>3196.999</v>
      </c>
      <c r="Y29" s="10">
        <v>3807.18</v>
      </c>
      <c r="Z29" s="10">
        <v>3913.13</v>
      </c>
      <c r="AA29" s="10">
        <v>3226.821</v>
      </c>
      <c r="AB29" s="10">
        <v>3189.004</v>
      </c>
      <c r="AC29" s="10">
        <v>3624.179</v>
      </c>
      <c r="AD29" s="10">
        <v>3008.07</v>
      </c>
      <c r="AE29" s="10">
        <v>2318.862</v>
      </c>
      <c r="AF29" s="10">
        <v>2345.85</v>
      </c>
      <c r="AG29" s="10">
        <v>2769.819</v>
      </c>
      <c r="AH29" s="10">
        <v>2602.977</v>
      </c>
      <c r="AI29" s="10">
        <v>2533.83</v>
      </c>
      <c r="AJ29" s="10">
        <v>2189.902</v>
      </c>
      <c r="AK29" s="10">
        <v>2604.81</v>
      </c>
      <c r="AL29" s="10">
        <v>2781.909</v>
      </c>
    </row>
    <row r="30" ht="14.15" spans="1:38">
      <c r="A30" s="1" t="s">
        <v>103</v>
      </c>
      <c r="B30" s="2">
        <v>70</v>
      </c>
      <c r="C30" s="10">
        <v>1407.896</v>
      </c>
      <c r="D30" s="10">
        <v>2077.012</v>
      </c>
      <c r="E30" s="10">
        <v>2355.969</v>
      </c>
      <c r="F30" s="10">
        <v>1942.08</v>
      </c>
      <c r="G30" s="10">
        <v>2064.104</v>
      </c>
      <c r="H30" s="10">
        <v>2155.02</v>
      </c>
      <c r="I30" s="10">
        <v>2097.956</v>
      </c>
      <c r="J30" s="10">
        <v>2110.108</v>
      </c>
      <c r="K30" s="10">
        <v>1987.02</v>
      </c>
      <c r="L30" s="10">
        <v>1944.103</v>
      </c>
      <c r="M30" s="10">
        <v>2367.96</v>
      </c>
      <c r="N30" s="10">
        <v>2128.987</v>
      </c>
      <c r="O30" s="10">
        <v>2367.036</v>
      </c>
      <c r="P30" s="10">
        <v>1576.092</v>
      </c>
      <c r="Q30" s="10">
        <v>2301.068</v>
      </c>
      <c r="R30" s="10">
        <v>2076.9</v>
      </c>
      <c r="S30" s="10">
        <v>2102.079</v>
      </c>
      <c r="T30" s="10">
        <v>1829.94</v>
      </c>
      <c r="U30" s="10">
        <v>2207.107</v>
      </c>
      <c r="V30" s="10">
        <v>2151.989</v>
      </c>
      <c r="W30" s="10">
        <v>2060.1</v>
      </c>
      <c r="X30" s="10">
        <v>2047.829</v>
      </c>
      <c r="Y30" s="10">
        <v>2299.92</v>
      </c>
      <c r="Z30" s="10">
        <v>2209.06</v>
      </c>
      <c r="AA30" s="10">
        <v>1676.976</v>
      </c>
      <c r="AB30" s="10">
        <v>1738.912</v>
      </c>
      <c r="AC30" s="10">
        <v>1688.911</v>
      </c>
      <c r="AD30" s="10">
        <v>1819.02</v>
      </c>
      <c r="AE30" s="10">
        <v>1882.041</v>
      </c>
      <c r="AF30" s="10">
        <v>2018.1</v>
      </c>
      <c r="AG30" s="10">
        <v>2099.041</v>
      </c>
      <c r="AH30" s="10">
        <v>2025.912</v>
      </c>
      <c r="AI30" s="10">
        <v>1844.01</v>
      </c>
      <c r="AJ30" s="10">
        <v>1653.974</v>
      </c>
      <c r="AK30" s="10">
        <v>1935.99</v>
      </c>
      <c r="AL30" s="10">
        <v>1977.955</v>
      </c>
    </row>
    <row r="31" ht="15.4" spans="1:38">
      <c r="A31" s="1" t="s">
        <v>104</v>
      </c>
      <c r="B31" s="11">
        <v>40</v>
      </c>
      <c r="C31" s="10">
        <v>963.728</v>
      </c>
      <c r="D31" s="10">
        <v>1348.704</v>
      </c>
      <c r="E31" s="10">
        <v>1581.248</v>
      </c>
      <c r="F31" s="10">
        <v>1366.2</v>
      </c>
      <c r="G31" s="10">
        <v>1251.284</v>
      </c>
      <c r="H31" s="10">
        <v>927.72</v>
      </c>
      <c r="I31" s="10">
        <v>1039.988</v>
      </c>
      <c r="J31" s="10">
        <v>903.96</v>
      </c>
      <c r="K31" s="10">
        <v>1146.96</v>
      </c>
      <c r="L31" s="10">
        <v>1055.984</v>
      </c>
      <c r="M31" s="10">
        <v>1299</v>
      </c>
      <c r="N31" s="10">
        <v>1091.944</v>
      </c>
      <c r="O31" s="10">
        <v>926.032</v>
      </c>
      <c r="P31" s="10">
        <v>446.02</v>
      </c>
      <c r="Q31" s="10">
        <v>1217.06</v>
      </c>
      <c r="R31" s="10">
        <v>1068</v>
      </c>
      <c r="S31" s="10">
        <v>1115.008</v>
      </c>
      <c r="T31" s="10">
        <v>956.04</v>
      </c>
      <c r="U31" s="10">
        <v>1013.948</v>
      </c>
      <c r="V31" s="10">
        <v>952.94</v>
      </c>
      <c r="W31" s="10">
        <v>1271.04</v>
      </c>
      <c r="X31" s="10">
        <v>1145.884</v>
      </c>
      <c r="Y31" s="10">
        <v>1437</v>
      </c>
      <c r="Z31" s="10">
        <v>1299.52</v>
      </c>
      <c r="AA31" s="10">
        <v>748.96</v>
      </c>
      <c r="AB31" s="10">
        <v>988.96</v>
      </c>
      <c r="AC31" s="10">
        <v>1300.016</v>
      </c>
      <c r="AD31" s="10">
        <v>1148.04</v>
      </c>
      <c r="AE31" s="10">
        <v>919.956</v>
      </c>
      <c r="AF31" s="10">
        <v>948</v>
      </c>
      <c r="AG31" s="10">
        <v>1175.024</v>
      </c>
      <c r="AH31" s="10">
        <v>1300.016</v>
      </c>
      <c r="AI31" s="10">
        <v>1263</v>
      </c>
      <c r="AJ31" s="10">
        <v>1382.972</v>
      </c>
      <c r="AK31" s="10">
        <v>1536.96</v>
      </c>
      <c r="AL31" s="10">
        <v>1459.976</v>
      </c>
    </row>
    <row r="32" ht="14.15" spans="1:38">
      <c r="A32" s="1" t="s">
        <v>105</v>
      </c>
      <c r="B32" s="2">
        <v>20</v>
      </c>
      <c r="C32" s="10">
        <v>470.022</v>
      </c>
      <c r="D32" s="10">
        <v>539</v>
      </c>
      <c r="E32" s="10">
        <v>627.998</v>
      </c>
      <c r="F32" s="10">
        <v>508.02</v>
      </c>
      <c r="G32" s="10">
        <v>589.992</v>
      </c>
      <c r="H32" s="10">
        <v>607.02</v>
      </c>
      <c r="I32" s="10">
        <v>614.978</v>
      </c>
      <c r="J32" s="10">
        <v>534.998</v>
      </c>
      <c r="K32" s="10">
        <v>354</v>
      </c>
      <c r="L32" s="10">
        <v>478.02</v>
      </c>
      <c r="M32" s="10">
        <v>601.98</v>
      </c>
      <c r="N32" s="10">
        <v>556.016</v>
      </c>
      <c r="O32" s="10">
        <v>474.982</v>
      </c>
      <c r="P32" s="10">
        <v>297.018</v>
      </c>
      <c r="Q32" s="10">
        <v>646.97</v>
      </c>
      <c r="R32" s="10">
        <v>520.98</v>
      </c>
      <c r="S32" s="10">
        <v>482.98</v>
      </c>
      <c r="T32" s="10">
        <v>448.02</v>
      </c>
      <c r="U32" s="10">
        <v>496</v>
      </c>
      <c r="V32" s="10">
        <v>521.978</v>
      </c>
      <c r="W32" s="10">
        <v>405</v>
      </c>
      <c r="X32" s="10">
        <v>476.966</v>
      </c>
      <c r="Y32" s="10">
        <v>496.02</v>
      </c>
      <c r="Z32" s="10">
        <v>522.04</v>
      </c>
      <c r="AA32" s="10">
        <v>395.002</v>
      </c>
      <c r="AB32" s="10">
        <v>401.016</v>
      </c>
      <c r="AC32" s="10">
        <v>336.97</v>
      </c>
      <c r="AD32" s="10">
        <v>361.98</v>
      </c>
      <c r="AE32" s="10">
        <v>392.026</v>
      </c>
      <c r="AF32" s="10">
        <v>487.02</v>
      </c>
      <c r="AG32" s="10">
        <v>505.982</v>
      </c>
      <c r="AH32" s="10">
        <v>464.008</v>
      </c>
      <c r="AI32" s="10">
        <v>483</v>
      </c>
      <c r="AJ32" s="10">
        <v>456.01</v>
      </c>
      <c r="AK32" s="10">
        <v>543</v>
      </c>
      <c r="AL32" s="10">
        <v>533.014</v>
      </c>
    </row>
  </sheetData>
  <mergeCells count="3">
    <mergeCell ref="C1:AL1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2024床位使用率</vt:lpstr>
      <vt:lpstr>2024平均住院日</vt:lpstr>
      <vt:lpstr>2025床位使用率</vt:lpstr>
      <vt:lpstr>2025平均住院日</vt:lpstr>
      <vt:lpstr>All-利用率</vt:lpstr>
      <vt:lpstr>All-需求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SongWu</dc:creator>
  <cp:lastModifiedBy>吴松</cp:lastModifiedBy>
  <dcterms:created xsi:type="dcterms:W3CDTF">2023-05-12T11:15:00Z</dcterms:created>
  <dcterms:modified xsi:type="dcterms:W3CDTF">2026-09-15T07:23:40Z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76EB434402E54A90A0FDF5E14891932F_12</vt:lpwstr>
  </property>
  <property fmtid="{D5CDD505-2E9C-101B-9397-08002B2CF9AE}" pid="4" name="CalculationRule">
    <vt:i4>0</vt:i4>
  </property>
</Properties>
</file>